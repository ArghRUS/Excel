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Формы и Расчеты\"/>
    </mc:Choice>
  </mc:AlternateContent>
  <bookViews>
    <workbookView xWindow="0" yWindow="90" windowWidth="8535" windowHeight="3735" activeTab="2"/>
  </bookViews>
  <sheets>
    <sheet name="Лист1" sheetId="4" r:id="rId1"/>
    <sheet name="Лист2" sheetId="2" r:id="rId2"/>
    <sheet name="Лист3" sheetId="3" r:id="rId3"/>
  </sheets>
  <calcPr calcId="152511"/>
</workbook>
</file>

<file path=xl/calcChain.xml><?xml version="1.0" encoding="utf-8"?>
<calcChain xmlns="http://schemas.openxmlformats.org/spreadsheetml/2006/main">
  <c r="X57" i="2" l="1"/>
  <c r="W57" i="2"/>
  <c r="X56" i="2"/>
  <c r="W56" i="2"/>
  <c r="X55" i="2"/>
  <c r="W55" i="2"/>
  <c r="X54" i="2"/>
  <c r="W54" i="2"/>
  <c r="W47" i="2"/>
  <c r="X47" i="2"/>
  <c r="W48" i="2"/>
  <c r="X48" i="2"/>
  <c r="W49" i="2"/>
  <c r="X49" i="2"/>
  <c r="X46" i="2"/>
  <c r="W46" i="2"/>
  <c r="Y46" i="2"/>
  <c r="Z46" i="2"/>
  <c r="AA24" i="2"/>
  <c r="Z24" i="2"/>
  <c r="Y24" i="2"/>
  <c r="X24" i="2"/>
  <c r="AA23" i="2"/>
  <c r="Z23" i="2"/>
  <c r="Y23" i="2"/>
  <c r="X23" i="2"/>
  <c r="AA22" i="2"/>
  <c r="Z22" i="2"/>
  <c r="Y22" i="2"/>
  <c r="X22" i="2"/>
  <c r="AA12" i="2"/>
  <c r="Z12" i="2"/>
  <c r="Y12" i="2"/>
  <c r="X12" i="2"/>
  <c r="AA11" i="2"/>
  <c r="Z11" i="2"/>
  <c r="Y11" i="2"/>
  <c r="X11" i="2"/>
  <c r="AA10" i="2"/>
  <c r="Z10" i="2"/>
  <c r="Y10" i="2"/>
  <c r="X10" i="2"/>
  <c r="AA6" i="2"/>
  <c r="Z6" i="2"/>
  <c r="Y6" i="2"/>
  <c r="X6" i="2"/>
  <c r="AA8" i="2"/>
  <c r="Z8" i="2"/>
  <c r="Y8" i="2"/>
  <c r="X8" i="2"/>
  <c r="Y7" i="2"/>
  <c r="Z7" i="2"/>
  <c r="AA7" i="2"/>
  <c r="X7" i="2"/>
  <c r="W6" i="2" l="1"/>
  <c r="H13" i="4"/>
  <c r="N65" i="2" l="1"/>
  <c r="N64" i="2"/>
  <c r="M65" i="2"/>
  <c r="M64" i="2"/>
  <c r="L64" i="2" l="1"/>
  <c r="L65" i="2"/>
  <c r="K65" i="2"/>
  <c r="K64" i="2"/>
  <c r="W7" i="2"/>
  <c r="M5" i="2"/>
  <c r="U52" i="2" l="1"/>
  <c r="V52" i="2"/>
  <c r="M46" i="2"/>
  <c r="M47" i="2"/>
  <c r="M48" i="2"/>
  <c r="M49" i="2"/>
  <c r="M54" i="2"/>
  <c r="M55" i="2"/>
  <c r="M56" i="2"/>
  <c r="M57" i="2"/>
  <c r="M50" i="2"/>
  <c r="M51" i="2"/>
  <c r="M52" i="2"/>
  <c r="M53" i="2"/>
  <c r="M58" i="2"/>
  <c r="M59" i="2"/>
  <c r="M60" i="2"/>
  <c r="M61" i="2"/>
  <c r="U59" i="2"/>
  <c r="T59" i="2"/>
  <c r="T61" i="2" s="1"/>
  <c r="V16" i="2"/>
  <c r="V15" i="2"/>
  <c r="V28" i="2" s="1"/>
  <c r="V14" i="2"/>
  <c r="V13" i="2"/>
  <c r="V20" i="2" s="1"/>
  <c r="V24" i="2" s="1"/>
  <c r="W24" i="2" s="1"/>
  <c r="O17" i="2"/>
  <c r="O33" i="2"/>
  <c r="O18" i="2"/>
  <c r="O34" i="2"/>
  <c r="O13" i="2"/>
  <c r="O29" i="2"/>
  <c r="O14" i="2"/>
  <c r="O30" i="2"/>
  <c r="O9" i="2"/>
  <c r="O25" i="2"/>
  <c r="O10" i="2"/>
  <c r="O26" i="2"/>
  <c r="O5" i="2"/>
  <c r="O21" i="2"/>
  <c r="O6" i="2"/>
  <c r="O22" i="2"/>
  <c r="J14" i="4"/>
  <c r="H16" i="4"/>
  <c r="H14" i="4"/>
  <c r="H15" i="4"/>
  <c r="M33" i="2"/>
  <c r="M29" i="2"/>
  <c r="M25" i="2"/>
  <c r="M21" i="2"/>
  <c r="M17" i="2"/>
  <c r="M13" i="2"/>
  <c r="M9" i="2"/>
  <c r="U61" i="2" l="1"/>
  <c r="U62" i="2" s="1"/>
  <c r="V7" i="2"/>
  <c r="V6" i="2"/>
  <c r="N54" i="2"/>
  <c r="V21" i="2"/>
  <c r="V25" i="2" s="1"/>
  <c r="W25" i="2" s="1"/>
  <c r="N58" i="2"/>
  <c r="V9" i="2"/>
  <c r="V8" i="2"/>
  <c r="N51" i="2"/>
  <c r="N47" i="2"/>
  <c r="V29" i="2"/>
  <c r="V33" i="2" s="1"/>
  <c r="W33" i="2" s="1"/>
  <c r="T62" i="2"/>
  <c r="V32" i="2"/>
  <c r="W32" i="2" s="1"/>
  <c r="N46" i="2"/>
  <c r="N50" i="2"/>
  <c r="N55" i="2"/>
  <c r="N59" i="2"/>
  <c r="N68" i="2" l="1"/>
  <c r="N67" i="2"/>
  <c r="U53" i="2" l="1"/>
</calcChain>
</file>

<file path=xl/comments1.xml><?xml version="1.0" encoding="utf-8"?>
<comments xmlns="http://schemas.openxmlformats.org/spreadsheetml/2006/main">
  <authors>
    <author>Tolstov</author>
  </authors>
  <commentList>
    <comment ref="H13" authorId="0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Смотри ЛИСТ3
Различия между 732 и расчетом тормоза</t>
        </r>
      </text>
    </comment>
    <comment ref="H14" authorId="0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Смотри ЛИСТ3
Различия между 732 и расчетом тормоза</t>
        </r>
      </text>
    </comment>
    <comment ref="H15" authorId="0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Смотри ЛИСТ3
Различия между 732 и расчетом тормоза
</t>
        </r>
      </text>
    </comment>
    <comment ref="H16" authorId="0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Смотри ЛИСТ3
Различия между 732 и расчетом тормоза
</t>
        </r>
      </text>
    </comment>
    <comment ref="B20" authorId="0" shapeId="0">
      <text>
        <r>
          <rPr>
            <b/>
            <sz val="9"/>
            <color indexed="81"/>
            <rFont val="Tahoma"/>
            <charset val="1"/>
          </rPr>
          <t>Смотри ЛИСТ3</t>
        </r>
      </text>
    </comment>
    <comment ref="I21" authorId="0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ЛИСТ3 допускаемые</t>
        </r>
      </text>
    </comment>
  </commentList>
</comments>
</file>

<file path=xl/comments2.xml><?xml version="1.0" encoding="utf-8"?>
<comments xmlns="http://schemas.openxmlformats.org/spreadsheetml/2006/main">
  <authors>
    <author>korzhov</author>
    <author>user</author>
    <author>Tolstov</author>
  </authors>
  <commentList>
    <comment ref="O5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мах</t>
        </r>
      </text>
    </comment>
    <comment ref="O6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мин</t>
        </r>
      </text>
    </comment>
    <comment ref="J8" authorId="1" shapeId="0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вш - 61</t>
        </r>
      </text>
    </comment>
    <comment ref="L8" authorId="1" shapeId="0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вш - 70</t>
        </r>
      </text>
    </comment>
    <comment ref="O9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мах</t>
        </r>
      </text>
    </comment>
    <comment ref="O10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мин</t>
        </r>
      </text>
    </comment>
    <comment ref="J12" authorId="1" shapeId="0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вш - 75 авторег 300мм</t>
        </r>
      </text>
    </comment>
    <comment ref="L12" authorId="1" shapeId="0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вш - 85</t>
        </r>
      </text>
    </comment>
    <comment ref="O13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мах</t>
        </r>
      </text>
    </comment>
    <comment ref="V13" authorId="2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Среднее значение</t>
        </r>
      </text>
    </comment>
    <comment ref="O14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мин</t>
        </r>
      </text>
    </comment>
    <comment ref="V14" authorId="2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Среднее значение</t>
        </r>
      </text>
    </comment>
    <comment ref="V15" authorId="2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Среднее значение</t>
        </r>
      </text>
    </comment>
    <comment ref="V16" authorId="2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Среднее значение</t>
        </r>
      </text>
    </comment>
    <comment ref="O17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мах</t>
        </r>
      </text>
    </comment>
    <comment ref="O18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мин</t>
        </r>
      </text>
    </comment>
    <comment ref="O21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мах</t>
        </r>
      </text>
    </comment>
    <comment ref="O22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мин</t>
        </r>
      </text>
    </comment>
    <comment ref="O25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мах</t>
        </r>
      </text>
    </comment>
    <comment ref="O26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мин</t>
        </r>
      </text>
    </comment>
    <comment ref="O29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мах</t>
        </r>
      </text>
    </comment>
    <comment ref="O30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мин</t>
        </r>
      </text>
    </comment>
    <comment ref="O33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мах</t>
        </r>
      </text>
    </comment>
    <comment ref="O34" authorId="0" shapeId="0">
      <text>
        <r>
          <rPr>
            <b/>
            <sz val="8"/>
            <color indexed="81"/>
            <rFont val="Tahoma"/>
            <charset val="204"/>
          </rPr>
          <t>korzhov:</t>
        </r>
        <r>
          <rPr>
            <sz val="8"/>
            <color indexed="81"/>
            <rFont val="Tahoma"/>
            <charset val="204"/>
          </rPr>
          <t xml:space="preserve">
мин</t>
        </r>
      </text>
    </comment>
  </commentList>
</comments>
</file>

<file path=xl/comments3.xml><?xml version="1.0" encoding="utf-8"?>
<comments xmlns="http://schemas.openxmlformats.org/spreadsheetml/2006/main">
  <authors>
    <author>Tolstov</author>
  </authors>
  <commentList>
    <comment ref="G36" authorId="0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Верхний</t>
        </r>
      </text>
    </comment>
    <comment ref="H36" authorId="0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Средний</t>
        </r>
      </text>
    </comment>
    <comment ref="I36" authorId="0" shapeId="0">
      <text>
        <r>
          <rPr>
            <b/>
            <sz val="9"/>
            <color indexed="81"/>
            <rFont val="Tahoma"/>
            <charset val="1"/>
          </rPr>
          <t>Tolstov:</t>
        </r>
        <r>
          <rPr>
            <sz val="9"/>
            <color indexed="81"/>
            <rFont val="Tahoma"/>
            <charset val="1"/>
          </rPr>
          <t xml:space="preserve">
Нижний</t>
        </r>
      </text>
    </comment>
  </commentList>
</comments>
</file>

<file path=xl/sharedStrings.xml><?xml version="1.0" encoding="utf-8"?>
<sst xmlns="http://schemas.openxmlformats.org/spreadsheetml/2006/main" count="447" uniqueCount="222">
  <si>
    <t>Выход штока</t>
  </si>
  <si>
    <t>№ варианта</t>
  </si>
  <si>
    <t>Толщины колодок</t>
  </si>
  <si>
    <t>Тип колодок</t>
  </si>
  <si>
    <t>Положение режимного вала воздухораспределителя</t>
  </si>
  <si>
    <t>Срабатывание регулирующих устройств (авторегулятора)</t>
  </si>
  <si>
    <t>Величина усилия нажатия динамометрической колодки, кгс</t>
  </si>
  <si>
    <t>Ось колесной пары</t>
  </si>
  <si>
    <t>Композиционные</t>
  </si>
  <si>
    <t>Порожний</t>
  </si>
  <si>
    <t>Средний</t>
  </si>
  <si>
    <r>
      <t>l</t>
    </r>
    <r>
      <rPr>
        <vertAlign val="subscript"/>
        <sz val="11"/>
        <rFont val="Times New Roman"/>
        <family val="1"/>
        <charset val="204"/>
      </rPr>
      <t>шт</t>
    </r>
  </si>
  <si>
    <t>нет</t>
  </si>
  <si>
    <t>да</t>
  </si>
  <si>
    <r>
      <t>l</t>
    </r>
    <r>
      <rPr>
        <vertAlign val="subscript"/>
        <sz val="11"/>
        <rFont val="Times New Roman"/>
        <family val="1"/>
        <charset val="204"/>
      </rPr>
      <t>шт.min</t>
    </r>
  </si>
  <si>
    <r>
      <t>l</t>
    </r>
    <r>
      <rPr>
        <vertAlign val="subscript"/>
        <sz val="11"/>
        <rFont val="Times New Roman"/>
        <family val="1"/>
        <charset val="204"/>
      </rPr>
      <t>шт.max</t>
    </r>
  </si>
  <si>
    <t>Груженый</t>
  </si>
  <si>
    <t>Чугунные</t>
  </si>
  <si>
    <t>* Нумерация осей начинается с внешней оси тележки, не оборудованной приводом стояночного тормоза</t>
  </si>
  <si>
    <r>
      <t xml:space="preserve">Примечание: </t>
    </r>
    <r>
      <rPr>
        <i/>
        <sz val="9"/>
        <rFont val="Times New Roman"/>
        <family val="1"/>
        <charset val="204"/>
      </rPr>
      <t>l</t>
    </r>
    <r>
      <rPr>
        <vertAlign val="subscript"/>
        <sz val="9"/>
        <rFont val="Times New Roman"/>
        <family val="1"/>
        <charset val="204"/>
      </rPr>
      <t xml:space="preserve">шт </t>
    </r>
    <r>
      <rPr>
        <sz val="9"/>
        <rFont val="Times New Roman"/>
        <family val="1"/>
        <charset val="204"/>
      </rPr>
      <t>- выход</t>
    </r>
    <r>
      <rPr>
        <vertAlign val="subscript"/>
        <sz val="9"/>
        <rFont val="Times New Roman"/>
        <family val="1"/>
        <charset val="204"/>
      </rPr>
      <t xml:space="preserve"> </t>
    </r>
    <r>
      <rPr>
        <sz val="9"/>
        <rFont val="Times New Roman"/>
        <family val="1"/>
        <charset val="204"/>
      </rPr>
      <t xml:space="preserve">штока, установленный заводом изготовителем; </t>
    </r>
    <r>
      <rPr>
        <i/>
        <sz val="9"/>
        <rFont val="Times New Roman"/>
        <family val="1"/>
        <charset val="204"/>
      </rPr>
      <t>l</t>
    </r>
    <r>
      <rPr>
        <vertAlign val="subscript"/>
        <sz val="9"/>
        <rFont val="Times New Roman"/>
        <family val="1"/>
        <charset val="204"/>
      </rPr>
      <t>шт.min</t>
    </r>
    <r>
      <rPr>
        <sz val="9"/>
        <rFont val="Times New Roman"/>
        <family val="1"/>
        <charset val="204"/>
      </rPr>
      <t xml:space="preserve"> – минимально допускаемый</t>
    </r>
    <r>
      <rPr>
        <vertAlign val="subscript"/>
        <sz val="9"/>
        <rFont val="Times New Roman"/>
        <family val="1"/>
        <charset val="204"/>
      </rPr>
      <t xml:space="preserve">  </t>
    </r>
    <r>
      <rPr>
        <sz val="9"/>
        <rFont val="Times New Roman"/>
        <family val="1"/>
        <charset val="204"/>
      </rPr>
      <t xml:space="preserve">рабочий выход штока; </t>
    </r>
    <r>
      <rPr>
        <i/>
        <sz val="9"/>
        <rFont val="Times New Roman"/>
        <family val="1"/>
        <charset val="204"/>
      </rPr>
      <t>l</t>
    </r>
    <r>
      <rPr>
        <vertAlign val="subscript"/>
        <sz val="9"/>
        <rFont val="Times New Roman"/>
        <family val="1"/>
        <charset val="204"/>
      </rPr>
      <t xml:space="preserve">шт.max </t>
    </r>
    <r>
      <rPr>
        <sz val="9"/>
        <rFont val="Times New Roman"/>
        <family val="1"/>
        <charset val="204"/>
      </rPr>
      <t>– максимально допускаемый рабочий выход штока. Значения допускаемых рабочих выходов штока установлены нормативной документацией в зависимости от типа колодок и тормозной рычажной</t>
    </r>
    <r>
      <rPr>
        <sz val="10"/>
        <rFont val="Times New Roman"/>
        <family val="1"/>
        <charset val="204"/>
      </rPr>
      <t xml:space="preserve"> передачи.</t>
    </r>
  </si>
  <si>
    <t xml:space="preserve">Толщины колодок, которые были зафиксированы во время обследования вагона перед испытаниями
(новые)
</t>
  </si>
  <si>
    <t xml:space="preserve">Толщины изношенных колодок 
10 мм
</t>
  </si>
  <si>
    <t>Загрузка вагона</t>
  </si>
  <si>
    <t>Толщины колодок, которые были зафиксированы во время обследования вагона перед испытаниями
(новые)</t>
  </si>
  <si>
    <t>Толщины изношенных колодок 
10 мм</t>
  </si>
  <si>
    <t>Сумм</t>
  </si>
  <si>
    <t>макс</t>
  </si>
  <si>
    <t>Тип колодок и загрузка вагона</t>
  </si>
  <si>
    <r>
      <t>К</t>
    </r>
    <r>
      <rPr>
        <vertAlign val="subscript"/>
        <sz val="12"/>
        <rFont val="Times New Roman"/>
        <family val="1"/>
        <charset val="204"/>
      </rPr>
      <t xml:space="preserve">д изм, </t>
    </r>
    <r>
      <rPr>
        <sz val="12"/>
        <rFont val="Times New Roman"/>
        <family val="1"/>
        <charset val="204"/>
      </rPr>
      <t>%</t>
    </r>
  </si>
  <si>
    <t>мин</t>
  </si>
  <si>
    <t>Композиционные колодки</t>
  </si>
  <si>
    <t>Чугунные колодки</t>
  </si>
  <si>
    <t>Удержание стояночным тормозом груженого вагона на уклоне:</t>
  </si>
  <si>
    <t>Композит</t>
  </si>
  <si>
    <t>Чугун</t>
  </si>
  <si>
    <t>тыл ст</t>
  </si>
  <si>
    <t>вн ст</t>
  </si>
  <si>
    <t>тыл без</t>
  </si>
  <si>
    <t>вн без</t>
  </si>
  <si>
    <t>* Нумерация осей начинается с внешней оси тележки,  оборудованной приводом стояночного тормоза</t>
  </si>
  <si>
    <t>Действительная сила нажатия торм колодок от действия стояночного тормоза</t>
  </si>
  <si>
    <t>Действительный статический коэфф трения колодки о колесо</t>
  </si>
  <si>
    <t>Уклон пути, на котором удерживается вагон стояночным тормозом</t>
  </si>
  <si>
    <t>Композиционные колодки и порожний вагон</t>
  </si>
  <si>
    <t>Композиционные колодки и груженый вагон</t>
  </si>
  <si>
    <t>Чугунные колодки и порожний вагон</t>
  </si>
  <si>
    <t>Чугунные колодки и груженый вагон</t>
  </si>
  <si>
    <t>Стояночный тормоз</t>
  </si>
  <si>
    <t>Коэфициент силы нажатия измер. давление</t>
  </si>
  <si>
    <t>ПОЛНЫЕ</t>
  </si>
  <si>
    <t>Коэфициент силы нажатия МИН. давление</t>
  </si>
  <si>
    <t>ТОНКИЕ</t>
  </si>
  <si>
    <t>Тип</t>
  </si>
  <si>
    <t>Воздухораспределитель и камера</t>
  </si>
  <si>
    <t>Авторежим</t>
  </si>
  <si>
    <t>Авторегулятор</t>
  </si>
  <si>
    <t>Тормозной цилиндр</t>
  </si>
  <si>
    <t>Запасной резервуар</t>
  </si>
  <si>
    <t>Тормозные колодки</t>
  </si>
  <si>
    <t>Марка(модель)</t>
  </si>
  <si>
    <t>ТИП ПОДВИЖНОГО СОСТАВА</t>
  </si>
  <si>
    <t>Тара, тс</t>
  </si>
  <si>
    <t>Гузоподъемность, тс</t>
  </si>
  <si>
    <t>Заводской №</t>
  </si>
  <si>
    <t>Модель</t>
  </si>
  <si>
    <t>при 98Нм</t>
  </si>
  <si>
    <t>Наименование</t>
  </si>
  <si>
    <t>Фактическое</t>
  </si>
  <si>
    <t>значение</t>
  </si>
  <si>
    <t>Нормируемое</t>
  </si>
  <si>
    <t>Плотность тормозной системы</t>
  </si>
  <si>
    <t>не более 0,1 за 5 мин</t>
  </si>
  <si>
    <t>Время зарядки тормозной системы</t>
  </si>
  <si>
    <t>не менее 6 мин.</t>
  </si>
  <si>
    <t>не отпускал 5 мин.</t>
  </si>
  <si>
    <t>Плотность тормозного цилиндра</t>
  </si>
  <si>
    <t>0,1 за 3 мин</t>
  </si>
  <si>
    <t>Рц композит</t>
  </si>
  <si>
    <t>порожний</t>
  </si>
  <si>
    <t>груженый</t>
  </si>
  <si>
    <t>Рц чугун</t>
  </si>
  <si>
    <t>КОНТРОЛИРУЕМЫЕ ПАРАМЕТРЫ СИСТЕМЫ</t>
  </si>
  <si>
    <t>ТОРМОЗНОЕ ОБОРУДОВАНИЕ</t>
  </si>
  <si>
    <t>Pц min</t>
  </si>
  <si>
    <t>Тележка со стояном</t>
  </si>
  <si>
    <t>Тележка без стояна</t>
  </si>
  <si>
    <t>Размер "С"</t>
  </si>
  <si>
    <t>Размер "П"</t>
  </si>
  <si>
    <t>Размер "Р"</t>
  </si>
  <si>
    <t>D1,D2</t>
  </si>
  <si>
    <t>Толщина колодок</t>
  </si>
  <si>
    <t>РЕГУЛИРОВКА РЫЧАЖНОЙ ПЕРЕДАЧИ (заводские настройки)</t>
  </si>
  <si>
    <t>Размер "а"</t>
  </si>
  <si>
    <t>Размер "А"</t>
  </si>
  <si>
    <t>Стягивание авторег.</t>
  </si>
  <si>
    <t>измеренное</t>
  </si>
  <si>
    <t>Время нарастания силы нажатия, не более 15 с.</t>
  </si>
  <si>
    <t>Груженый композит</t>
  </si>
  <si>
    <t>Груженый чугун</t>
  </si>
  <si>
    <t>ЧУГУН</t>
  </si>
  <si>
    <t>КОМПОЗИТ</t>
  </si>
  <si>
    <t>Расчетные показатели</t>
  </si>
  <si>
    <t>Количество колодок действующих от стояна</t>
  </si>
  <si>
    <t>РТРП-300</t>
  </si>
  <si>
    <t>483А</t>
  </si>
  <si>
    <t>Обозначение размеров</t>
  </si>
  <si>
    <t>Величина размера, мм, при среднем диаметре колес тележки</t>
  </si>
  <si>
    <t>Колодки толщиной (50+5) мм</t>
  </si>
  <si>
    <t>более 959</t>
  </si>
  <si>
    <t>959-943</t>
  </si>
  <si>
    <t>942-928</t>
  </si>
  <si>
    <t>927-904</t>
  </si>
  <si>
    <t>903-886</t>
  </si>
  <si>
    <t>885-870</t>
  </si>
  <si>
    <t>менее 870</t>
  </si>
  <si>
    <t>С</t>
  </si>
  <si>
    <t>П</t>
  </si>
  <si>
    <t>350-450</t>
  </si>
  <si>
    <t>350-400</t>
  </si>
  <si>
    <t>Р</t>
  </si>
  <si>
    <t>Колодки толщиной (60±4) мм</t>
  </si>
  <si>
    <t>более 939</t>
  </si>
  <si>
    <t>939-923</t>
  </si>
  <si>
    <t>922-908</t>
  </si>
  <si>
    <t>907-884</t>
  </si>
  <si>
    <t>883-866</t>
  </si>
  <si>
    <t>мене 866</t>
  </si>
  <si>
    <t>Колодки толщиной (65+5) мм</t>
  </si>
  <si>
    <t>более 954</t>
  </si>
  <si>
    <t>954-930</t>
  </si>
  <si>
    <t>929-913</t>
  </si>
  <si>
    <t>912-898</t>
  </si>
  <si>
    <t>897-874</t>
  </si>
  <si>
    <t>873-856</t>
  </si>
  <si>
    <t>менее 856</t>
  </si>
  <si>
    <t>Удержание тормоза, после снижения давления на 0,5-0,6 кгс/см2 (ступень)</t>
  </si>
  <si>
    <t>Тип вагона и тормозных колодок</t>
  </si>
  <si>
    <t>Грузовой с одним цилиндром и композит</t>
  </si>
  <si>
    <t>Грузовой с одним цилиндром и чугун</t>
  </si>
  <si>
    <t>Грузовой с двумя цилиндрами и композит</t>
  </si>
  <si>
    <t>Грузовой с двумя цилиндрами и чугун</t>
  </si>
  <si>
    <t>Стягивание регулятора</t>
  </si>
  <si>
    <t>Модель регулятора</t>
  </si>
  <si>
    <t>Стягивание</t>
  </si>
  <si>
    <t>574Б</t>
  </si>
  <si>
    <t>РТРП 675 и 675-М</t>
  </si>
  <si>
    <t>Размер РТРП "А"</t>
  </si>
  <si>
    <t>Тип вагона</t>
  </si>
  <si>
    <t>Колодки</t>
  </si>
  <si>
    <t>Размер "А", мм</t>
  </si>
  <si>
    <t>рычажный привод</t>
  </si>
  <si>
    <t>стержневой привод</t>
  </si>
  <si>
    <t>винтовой упор</t>
  </si>
  <si>
    <t>4-осный грузовой с одним цилиндром</t>
  </si>
  <si>
    <t>8-осный грузовой с одним цилиндром</t>
  </si>
  <si>
    <t>4-осный грузовой с двумя цилиндрами</t>
  </si>
  <si>
    <t>Вагон 5-вагонной рефрижераторной секции постройки БМЗ и ГДР, автономный рефрижираторный вагон (АРВ)</t>
  </si>
  <si>
    <t>Вагон-термос</t>
  </si>
  <si>
    <t>компот</t>
  </si>
  <si>
    <t>чугун</t>
  </si>
  <si>
    <t>35-50</t>
  </si>
  <si>
    <t>140-200</t>
  </si>
  <si>
    <t>15-30</t>
  </si>
  <si>
    <t>40-60</t>
  </si>
  <si>
    <t>120-150</t>
  </si>
  <si>
    <t>15-35</t>
  </si>
  <si>
    <t>30-50</t>
  </si>
  <si>
    <t>10-25</t>
  </si>
  <si>
    <t>25-60</t>
  </si>
  <si>
    <t>55-145</t>
  </si>
  <si>
    <t>40-75</t>
  </si>
  <si>
    <t>60-100</t>
  </si>
  <si>
    <t>130-150</t>
  </si>
  <si>
    <t>Давление в ТЦ</t>
  </si>
  <si>
    <t>Наличие авторежима</t>
  </si>
  <si>
    <t>Без авторежима</t>
  </si>
  <si>
    <t>С авторежимом (тара до 27т)</t>
  </si>
  <si>
    <t>С авторежимом (тара от 27т до 32т)</t>
  </si>
  <si>
    <t>С авторежимом (тара от 32т до 36т)</t>
  </si>
  <si>
    <t>С авторежимом (тара от 36т до 45т)</t>
  </si>
  <si>
    <t>Режим ВР</t>
  </si>
  <si>
    <r>
      <t>D</t>
    </r>
    <r>
      <rPr>
        <vertAlign val="subscript"/>
        <sz val="10"/>
        <rFont val="Arial"/>
        <family val="2"/>
        <charset val="204"/>
      </rPr>
      <t>ср</t>
    </r>
    <r>
      <rPr>
        <sz val="10"/>
        <rFont val="Arial"/>
        <family val="2"/>
        <charset val="204"/>
      </rPr>
      <t>=(D</t>
    </r>
    <r>
      <rPr>
        <vertAlign val="subscript"/>
        <sz val="10"/>
        <rFont val="Arial"/>
        <family val="2"/>
        <charset val="204"/>
      </rPr>
      <t>1</t>
    </r>
    <r>
      <rPr>
        <sz val="10"/>
        <rFont val="Arial"/>
        <family val="2"/>
        <charset val="204"/>
      </rPr>
      <t>+D</t>
    </r>
    <r>
      <rPr>
        <vertAlign val="sub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)/2, мм</t>
    </r>
  </si>
  <si>
    <t>Давление в ТЦ, вагон груженый (имитация)</t>
  </si>
  <si>
    <t>295.001</t>
  </si>
  <si>
    <t>295М.001, 295М.002</t>
  </si>
  <si>
    <t>Время отпуска, не более 70 с</t>
  </si>
  <si>
    <t>Ступенька</t>
  </si>
  <si>
    <t>Дата испытаний</t>
  </si>
  <si>
    <t>Модель главной части ВР</t>
  </si>
  <si>
    <t>Давление в ТЦ 732</t>
  </si>
  <si>
    <t>Давление в ТЦ расчет тормоза</t>
  </si>
  <si>
    <t>Тара</t>
  </si>
  <si>
    <t>Давление</t>
  </si>
  <si>
    <t>Компот</t>
  </si>
  <si>
    <t>Выход штока ТЦ</t>
  </si>
  <si>
    <t>ТЦ1</t>
  </si>
  <si>
    <t>ТЦ2</t>
  </si>
  <si>
    <t>Толщина</t>
  </si>
  <si>
    <t>полные</t>
  </si>
  <si>
    <t>тонкие</t>
  </si>
  <si>
    <t>Макс</t>
  </si>
  <si>
    <t>Мин</t>
  </si>
  <si>
    <t>ТОНКИЕ колодки и груженый вагон</t>
  </si>
  <si>
    <t>Полные колодки и порожний вагон</t>
  </si>
  <si>
    <t>Полные колодки и груженый вагон</t>
  </si>
  <si>
    <t>ТОНКИЕ колодки и порожний вагон</t>
  </si>
  <si>
    <t>Средняя сила нажатия</t>
  </si>
  <si>
    <t>платформа</t>
  </si>
  <si>
    <t>710-03</t>
  </si>
  <si>
    <t>По старому</t>
  </si>
  <si>
    <t>По новому госту</t>
  </si>
  <si>
    <t>265А-4</t>
  </si>
  <si>
    <t>Фритекс</t>
  </si>
  <si>
    <t>13-6895</t>
  </si>
  <si>
    <t>0100001</t>
  </si>
  <si>
    <t>4-осный грузовой с двумя цилиндрами 710-03</t>
  </si>
  <si>
    <t>20-40</t>
  </si>
  <si>
    <t>Грузовой вагон с двумя ТЦ 710-03 и композит</t>
  </si>
  <si>
    <t>Авторежим А-5</t>
  </si>
  <si>
    <t>Р7-135</t>
  </si>
  <si>
    <t>Давление в ТЦ ГОСТ 34434</t>
  </si>
  <si>
    <t>С авторежимом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</si>
</sst>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"/>
    <numFmt numFmtId="166" formatCode="0.000"/>
  </numFmts>
  <fonts count="30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i/>
      <sz val="11"/>
      <name val="Times New Roman"/>
      <family val="1"/>
      <charset val="204"/>
    </font>
    <font>
      <vertAlign val="subscript"/>
      <sz val="1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Times New Roman"/>
      <family val="1"/>
      <charset val="204"/>
    </font>
    <font>
      <i/>
      <sz val="9"/>
      <name val="Times New Roman"/>
      <family val="1"/>
      <charset val="204"/>
    </font>
    <font>
      <vertAlign val="subscript"/>
      <sz val="9"/>
      <name val="Times New Roman"/>
      <family val="1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sz val="8"/>
      <color indexed="81"/>
      <name val="Tahoma"/>
      <charset val="204"/>
    </font>
    <font>
      <b/>
      <sz val="8"/>
      <color indexed="81"/>
      <name val="Tahoma"/>
      <charset val="204"/>
    </font>
    <font>
      <sz val="10"/>
      <color indexed="12"/>
      <name val="Arial Cyr"/>
      <family val="2"/>
      <charset val="204"/>
    </font>
    <font>
      <sz val="12"/>
      <color indexed="12"/>
      <name val="Arial Cyr"/>
      <family val="2"/>
      <charset val="204"/>
    </font>
    <font>
      <sz val="9"/>
      <name val="Arial"/>
      <family val="2"/>
      <charset val="204"/>
    </font>
    <font>
      <b/>
      <sz val="11"/>
      <name val="Times New Roman"/>
      <family val="1"/>
      <charset val="204"/>
    </font>
    <font>
      <sz val="8"/>
      <name val="Arial"/>
      <family val="2"/>
      <charset val="204"/>
    </font>
    <font>
      <b/>
      <sz val="10"/>
      <color indexed="10"/>
      <name val="Arial Cyr"/>
      <charset val="204"/>
    </font>
    <font>
      <sz val="12"/>
      <name val="Arial Cyr"/>
      <charset val="204"/>
    </font>
    <font>
      <sz val="9"/>
      <name val="Arial Cyr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  <family val="2"/>
      <charset val="204"/>
    </font>
    <font>
      <vertAlign val="subscript"/>
      <sz val="10"/>
      <name val="Arial"/>
      <family val="2"/>
      <charset val="204"/>
    </font>
    <font>
      <sz val="10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1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1" fontId="0" fillId="0" borderId="3" xfId="0" applyNumberFormat="1" applyBorder="1"/>
    <xf numFmtId="1" fontId="0" fillId="0" borderId="4" xfId="0" applyNumberFormat="1" applyBorder="1"/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/>
    <xf numFmtId="0" fontId="16" fillId="0" borderId="0" xfId="0" applyFont="1" applyFill="1" applyAlignment="1">
      <alignment horizontal="center"/>
    </xf>
    <xf numFmtId="0" fontId="11" fillId="0" borderId="0" xfId="0" applyFont="1" applyBorder="1" applyAlignment="1">
      <alignment wrapText="1"/>
    </xf>
    <xf numFmtId="2" fontId="11" fillId="0" borderId="0" xfId="0" applyNumberFormat="1" applyFont="1" applyBorder="1" applyAlignment="1">
      <alignment horizontal="center" vertical="center" wrapText="1"/>
    </xf>
    <xf numFmtId="16" fontId="16" fillId="0" borderId="0" xfId="0" applyNumberFormat="1" applyFont="1" applyFill="1" applyAlignment="1">
      <alignment horizontal="center"/>
    </xf>
    <xf numFmtId="0" fontId="0" fillId="2" borderId="0" xfId="0" applyFill="1"/>
    <xf numFmtId="0" fontId="21" fillId="2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/>
    <xf numFmtId="1" fontId="0" fillId="0" borderId="0" xfId="0" applyNumberFormat="1" applyBorder="1" applyAlignment="1">
      <alignment horizontal="center"/>
    </xf>
    <xf numFmtId="0" fontId="7" fillId="0" borderId="5" xfId="0" applyFont="1" applyFill="1" applyBorder="1" applyAlignment="1">
      <alignment horizontal="center" vertical="center" wrapText="1"/>
    </xf>
    <xf numFmtId="0" fontId="7" fillId="0" borderId="6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1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" fillId="0" borderId="0" xfId="0" applyFont="1"/>
    <xf numFmtId="0" fontId="24" fillId="3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1" xfId="0" applyFill="1" applyBorder="1"/>
    <xf numFmtId="0" fontId="3" fillId="4" borderId="11" xfId="0" applyFont="1" applyFill="1" applyBorder="1" applyAlignment="1">
      <alignment horizontal="left"/>
    </xf>
    <xf numFmtId="0" fontId="3" fillId="0" borderId="2" xfId="0" applyFont="1" applyBorder="1"/>
    <xf numFmtId="0" fontId="24" fillId="4" borderId="1" xfId="0" applyFont="1" applyFill="1" applyBorder="1" applyAlignment="1">
      <alignment horizontal="left"/>
    </xf>
    <xf numFmtId="0" fontId="0" fillId="0" borderId="4" xfId="0" applyFill="1" applyBorder="1" applyAlignment="1"/>
    <xf numFmtId="0" fontId="24" fillId="0" borderId="2" xfId="0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 vertical="center" wrapText="1"/>
    </xf>
    <xf numFmtId="0" fontId="22" fillId="0" borderId="0" xfId="0" applyFont="1" applyFill="1" applyAlignment="1"/>
    <xf numFmtId="0" fontId="0" fillId="0" borderId="11" xfId="0" applyFill="1" applyBorder="1" applyAlignment="1"/>
    <xf numFmtId="166" fontId="15" fillId="0" borderId="3" xfId="0" applyNumberFormat="1" applyFont="1" applyFill="1" applyBorder="1" applyAlignment="1">
      <alignment horizontal="center" vertical="center"/>
    </xf>
    <xf numFmtId="0" fontId="1" fillId="5" borderId="2" xfId="0" applyFont="1" applyFill="1" applyBorder="1"/>
    <xf numFmtId="0" fontId="0" fillId="2" borderId="2" xfId="0" applyFill="1" applyBorder="1"/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1" fontId="0" fillId="5" borderId="3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1" fillId="3" borderId="15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horizontal="center" vertical="center" wrapText="1"/>
    </xf>
    <xf numFmtId="0" fontId="7" fillId="0" borderId="17" xfId="0" applyFont="1" applyFill="1" applyBorder="1" applyAlignment="1">
      <alignment horizontal="center" vertical="center" wrapText="1"/>
    </xf>
    <xf numFmtId="0" fontId="7" fillId="0" borderId="18" xfId="0" applyFont="1" applyFill="1" applyBorder="1" applyAlignment="1">
      <alignment horizontal="center" vertical="center" wrapText="1"/>
    </xf>
    <xf numFmtId="1" fontId="7" fillId="0" borderId="7" xfId="0" applyNumberFormat="1" applyFont="1" applyFill="1" applyBorder="1" applyAlignment="1">
      <alignment horizontal="center" vertical="center" wrapText="1"/>
    </xf>
    <xf numFmtId="1" fontId="7" fillId="0" borderId="8" xfId="0" applyNumberFormat="1" applyFont="1" applyFill="1" applyBorder="1" applyAlignment="1">
      <alignment horizontal="center" vertical="center" wrapText="1"/>
    </xf>
    <xf numFmtId="1" fontId="7" fillId="0" borderId="9" xfId="0" applyNumberFormat="1" applyFont="1" applyFill="1" applyBorder="1" applyAlignment="1">
      <alignment horizontal="center" vertical="center" wrapText="1"/>
    </xf>
    <xf numFmtId="1" fontId="7" fillId="0" borderId="10" xfId="0" applyNumberFormat="1" applyFont="1" applyFill="1" applyBorder="1" applyAlignment="1">
      <alignment horizontal="center" vertical="center" wrapText="1"/>
    </xf>
    <xf numFmtId="165" fontId="15" fillId="0" borderId="2" xfId="0" applyNumberFormat="1" applyFont="1" applyFill="1" applyBorder="1" applyAlignment="1">
      <alignment horizontal="center" vertical="center"/>
    </xf>
    <xf numFmtId="166" fontId="11" fillId="0" borderId="2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2" fontId="11" fillId="0" borderId="4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/>
    </xf>
    <xf numFmtId="0" fontId="0" fillId="6" borderId="0" xfId="0" applyFill="1"/>
    <xf numFmtId="0" fontId="23" fillId="2" borderId="2" xfId="0" applyFont="1" applyFill="1" applyBorder="1" applyAlignment="1">
      <alignment horizontal="center"/>
    </xf>
    <xf numFmtId="1" fontId="7" fillId="0" borderId="19" xfId="0" applyNumberFormat="1" applyFont="1" applyFill="1" applyBorder="1" applyAlignment="1">
      <alignment horizontal="center" vertical="center" wrapText="1"/>
    </xf>
    <xf numFmtId="1" fontId="7" fillId="0" borderId="20" xfId="0" applyNumberFormat="1" applyFont="1" applyFill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/>
    </xf>
    <xf numFmtId="0" fontId="7" fillId="0" borderId="21" xfId="0" applyFont="1" applyFill="1" applyBorder="1" applyAlignment="1">
      <alignment horizontal="center" vertical="center" wrapText="1"/>
    </xf>
    <xf numFmtId="0" fontId="7" fillId="0" borderId="22" xfId="0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0" xfId="0" applyFont="1" applyBorder="1" applyAlignment="1">
      <alignment wrapText="1"/>
    </xf>
    <xf numFmtId="0" fontId="27" fillId="0" borderId="0" xfId="0" applyFont="1"/>
    <xf numFmtId="0" fontId="27" fillId="0" borderId="35" xfId="0" applyFont="1" applyBorder="1" applyAlignment="1">
      <alignment horizontal="center" wrapText="1"/>
    </xf>
    <xf numFmtId="0" fontId="27" fillId="0" borderId="42" xfId="0" applyFont="1" applyBorder="1" applyAlignment="1">
      <alignment horizontal="center" wrapText="1"/>
    </xf>
    <xf numFmtId="0" fontId="27" fillId="0" borderId="1" xfId="0" applyFont="1" applyBorder="1" applyAlignment="1">
      <alignment horizontal="center" wrapText="1"/>
    </xf>
    <xf numFmtId="0" fontId="27" fillId="0" borderId="45" xfId="0" applyFont="1" applyBorder="1" applyAlignment="1">
      <alignment horizontal="center" wrapText="1"/>
    </xf>
    <xf numFmtId="0" fontId="27" fillId="0" borderId="46" xfId="0" applyFont="1" applyBorder="1" applyAlignment="1">
      <alignment horizontal="center" wrapText="1"/>
    </xf>
    <xf numFmtId="0" fontId="27" fillId="0" borderId="28" xfId="0" applyFont="1" applyBorder="1" applyAlignment="1">
      <alignment horizontal="center"/>
    </xf>
    <xf numFmtId="0" fontId="27" fillId="0" borderId="15" xfId="0" applyFont="1" applyBorder="1" applyAlignment="1">
      <alignment horizontal="center"/>
    </xf>
    <xf numFmtId="0" fontId="27" fillId="0" borderId="53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1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0" borderId="2" xfId="0" applyFont="1" applyBorder="1" applyAlignment="1">
      <alignment horizontal="center" wrapText="1"/>
    </xf>
    <xf numFmtId="0" fontId="27" fillId="0" borderId="3" xfId="0" applyFont="1" applyBorder="1" applyAlignment="1">
      <alignment vertical="center"/>
    </xf>
    <xf numFmtId="49" fontId="27" fillId="0" borderId="3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vertical="center"/>
    </xf>
    <xf numFmtId="49" fontId="27" fillId="0" borderId="4" xfId="0" applyNumberFormat="1" applyFont="1" applyBorder="1" applyAlignment="1">
      <alignment horizontal="center" vertical="center"/>
    </xf>
    <xf numFmtId="0" fontId="27" fillId="0" borderId="0" xfId="0" applyFont="1" applyBorder="1"/>
    <xf numFmtId="0" fontId="27" fillId="0" borderId="0" xfId="0" applyFont="1" applyBorder="1" applyAlignment="1">
      <alignment horizontal="center" wrapText="1"/>
    </xf>
    <xf numFmtId="164" fontId="27" fillId="0" borderId="28" xfId="0" applyNumberFormat="1" applyFont="1" applyBorder="1" applyAlignment="1">
      <alignment horizontal="center"/>
    </xf>
    <xf numFmtId="164" fontId="27" fillId="0" borderId="15" xfId="0" applyNumberFormat="1" applyFont="1" applyBorder="1" applyAlignment="1">
      <alignment horizontal="center"/>
    </xf>
    <xf numFmtId="164" fontId="27" fillId="0" borderId="11" xfId="0" applyNumberFormat="1" applyFont="1" applyBorder="1" applyAlignment="1">
      <alignment horizontal="center"/>
    </xf>
    <xf numFmtId="164" fontId="27" fillId="0" borderId="1" xfId="0" applyNumberFormat="1" applyFont="1" applyBorder="1" applyAlignment="1">
      <alignment horizontal="center"/>
    </xf>
    <xf numFmtId="0" fontId="0" fillId="3" borderId="2" xfId="0" applyFill="1" applyBorder="1"/>
    <xf numFmtId="0" fontId="3" fillId="5" borderId="2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0" fontId="24" fillId="3" borderId="2" xfId="0" applyFont="1" applyFill="1" applyBorder="1"/>
    <xf numFmtId="164" fontId="27" fillId="0" borderId="2" xfId="0" applyNumberFormat="1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2" xfId="0" applyFont="1" applyBorder="1"/>
    <xf numFmtId="0" fontId="27" fillId="0" borderId="29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3" fillId="3" borderId="2" xfId="0" applyFont="1" applyFill="1" applyBorder="1"/>
    <xf numFmtId="0" fontId="24" fillId="4" borderId="3" xfId="0" applyFont="1" applyFill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64" fontId="23" fillId="5" borderId="14" xfId="0" applyNumberFormat="1" applyFont="1" applyFill="1" applyBorder="1" applyAlignment="1">
      <alignment horizontal="center" vertical="center"/>
    </xf>
    <xf numFmtId="0" fontId="24" fillId="0" borderId="14" xfId="0" applyFont="1" applyFill="1" applyBorder="1" applyAlignment="1">
      <alignment horizontal="center" vertical="center"/>
    </xf>
    <xf numFmtId="164" fontId="23" fillId="5" borderId="13" xfId="0" applyNumberFormat="1" applyFont="1" applyFill="1" applyBorder="1" applyAlignment="1">
      <alignment horizontal="center" vertical="center"/>
    </xf>
    <xf numFmtId="0" fontId="24" fillId="0" borderId="13" xfId="0" applyFont="1" applyFill="1" applyBorder="1" applyAlignment="1">
      <alignment horizontal="center" vertical="center"/>
    </xf>
    <xf numFmtId="164" fontId="24" fillId="0" borderId="13" xfId="0" applyNumberFormat="1" applyFont="1" applyFill="1" applyBorder="1" applyAlignment="1">
      <alignment horizontal="center" vertical="center"/>
    </xf>
    <xf numFmtId="164" fontId="23" fillId="2" borderId="12" xfId="0" applyNumberFormat="1" applyFont="1" applyFill="1" applyBorder="1" applyAlignment="1">
      <alignment horizontal="center" vertical="center"/>
    </xf>
    <xf numFmtId="0" fontId="24" fillId="0" borderId="12" xfId="0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164" fontId="23" fillId="2" borderId="13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3" fillId="0" borderId="2" xfId="0" applyFont="1" applyBorder="1" applyAlignment="1">
      <alignment horizontal="center"/>
    </xf>
    <xf numFmtId="2" fontId="0" fillId="0" borderId="0" xfId="0" applyNumberFormat="1" applyFill="1" applyBorder="1"/>
    <xf numFmtId="0" fontId="16" fillId="0" borderId="29" xfId="0" applyFont="1" applyFill="1" applyBorder="1" applyAlignment="1"/>
    <xf numFmtId="0" fontId="16" fillId="0" borderId="0" xfId="0" applyFont="1" applyFill="1" applyBorder="1" applyAlignment="1"/>
    <xf numFmtId="166" fontId="0" fillId="0" borderId="0" xfId="0" applyNumberFormat="1"/>
    <xf numFmtId="166" fontId="23" fillId="5" borderId="2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1" fontId="7" fillId="8" borderId="5" xfId="0" applyNumberFormat="1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1" fontId="7" fillId="8" borderId="6" xfId="0" applyNumberFormat="1" applyFont="1" applyFill="1" applyBorder="1" applyAlignment="1">
      <alignment horizontal="center" vertical="center" wrapText="1"/>
    </xf>
    <xf numFmtId="1" fontId="7" fillId="8" borderId="7" xfId="0" applyNumberFormat="1" applyFont="1" applyFill="1" applyBorder="1" applyAlignment="1">
      <alignment horizontal="center" vertical="center" wrapText="1"/>
    </xf>
    <xf numFmtId="1" fontId="7" fillId="8" borderId="8" xfId="0" applyNumberFormat="1" applyFont="1" applyFill="1" applyBorder="1" applyAlignment="1">
      <alignment horizontal="center" vertical="center" wrapText="1"/>
    </xf>
    <xf numFmtId="1" fontId="7" fillId="8" borderId="9" xfId="0" applyNumberFormat="1" applyFont="1" applyFill="1" applyBorder="1" applyAlignment="1">
      <alignment horizontal="center" vertical="center" wrapText="1"/>
    </xf>
    <xf numFmtId="1" fontId="7" fillId="8" borderId="10" xfId="0" applyNumberFormat="1" applyFont="1" applyFill="1" applyBorder="1" applyAlignment="1">
      <alignment horizontal="center" vertical="center" wrapText="1"/>
    </xf>
    <xf numFmtId="1" fontId="7" fillId="8" borderId="19" xfId="0" applyNumberFormat="1" applyFont="1" applyFill="1" applyBorder="1" applyAlignment="1">
      <alignment horizontal="center" vertical="center" wrapText="1"/>
    </xf>
    <xf numFmtId="1" fontId="7" fillId="8" borderId="20" xfId="0" applyNumberFormat="1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28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24" fillId="3" borderId="25" xfId="0" applyFont="1" applyFill="1" applyBorder="1" applyAlignment="1">
      <alignment horizontal="center"/>
    </xf>
    <xf numFmtId="0" fontId="24" fillId="3" borderId="26" xfId="0" applyFont="1" applyFill="1" applyBorder="1" applyAlignment="1">
      <alignment horizontal="center"/>
    </xf>
    <xf numFmtId="0" fontId="24" fillId="3" borderId="27" xfId="0" applyFont="1" applyFill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24" fillId="4" borderId="28" xfId="0" applyFont="1" applyFill="1" applyBorder="1" applyAlignment="1">
      <alignment horizontal="center"/>
    </xf>
    <xf numFmtId="0" fontId="24" fillId="4" borderId="15" xfId="0" applyFont="1" applyFill="1" applyBorder="1" applyAlignment="1">
      <alignment horizontal="center"/>
    </xf>
    <xf numFmtId="0" fontId="3" fillId="0" borderId="2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0" fontId="3" fillId="5" borderId="14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24" fillId="3" borderId="25" xfId="0" applyFont="1" applyFill="1" applyBorder="1"/>
    <xf numFmtId="0" fontId="24" fillId="3" borderId="27" xfId="0" applyFont="1" applyFill="1" applyBorder="1"/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24" fillId="4" borderId="3" xfId="0" applyFont="1" applyFill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left"/>
    </xf>
    <xf numFmtId="0" fontId="3" fillId="4" borderId="28" xfId="0" applyFont="1" applyFill="1" applyBorder="1" applyAlignment="1">
      <alignment horizontal="left" wrapText="1"/>
    </xf>
    <xf numFmtId="0" fontId="3" fillId="4" borderId="15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" xfId="0" applyFont="1" applyFill="1" applyBorder="1" applyAlignment="1">
      <alignment horizontal="left" wrapText="1"/>
    </xf>
    <xf numFmtId="0" fontId="24" fillId="0" borderId="3" xfId="0" applyFont="1" applyBorder="1" applyAlignment="1">
      <alignment wrapText="1"/>
    </xf>
    <xf numFmtId="0" fontId="24" fillId="0" borderId="4" xfId="0" applyFont="1" applyBorder="1" applyAlignment="1">
      <alignment wrapText="1"/>
    </xf>
    <xf numFmtId="0" fontId="24" fillId="0" borderId="3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4" fillId="0" borderId="3" xfId="0" applyFont="1" applyBorder="1"/>
    <xf numFmtId="0" fontId="24" fillId="0" borderId="4" xfId="0" applyFont="1" applyBorder="1"/>
    <xf numFmtId="0" fontId="23" fillId="5" borderId="3" xfId="0" applyFont="1" applyFill="1" applyBorder="1" applyAlignment="1">
      <alignment horizontal="center" vertical="center"/>
    </xf>
    <xf numFmtId="0" fontId="23" fillId="5" borderId="24" xfId="0" applyFont="1" applyFill="1" applyBorder="1" applyAlignment="1">
      <alignment horizontal="center" vertical="center"/>
    </xf>
    <xf numFmtId="0" fontId="23" fillId="5" borderId="4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 wrapText="1"/>
    </xf>
    <xf numFmtId="0" fontId="0" fillId="0" borderId="26" xfId="0" applyBorder="1" applyAlignment="1"/>
    <xf numFmtId="0" fontId="0" fillId="0" borderId="27" xfId="0" applyBorder="1" applyAlignment="1"/>
    <xf numFmtId="0" fontId="11" fillId="5" borderId="25" xfId="0" applyFont="1" applyFill="1" applyBorder="1" applyAlignment="1">
      <alignment wrapText="1"/>
    </xf>
    <xf numFmtId="0" fontId="0" fillId="5" borderId="26" xfId="0" applyFill="1" applyBorder="1" applyAlignment="1"/>
    <xf numFmtId="0" fontId="0" fillId="5" borderId="27" xfId="0" applyFill="1" applyBorder="1" applyAlignment="1"/>
    <xf numFmtId="0" fontId="11" fillId="2" borderId="25" xfId="0" applyFont="1" applyFill="1" applyBorder="1" applyAlignment="1">
      <alignment wrapText="1"/>
    </xf>
    <xf numFmtId="0" fontId="0" fillId="2" borderId="26" xfId="0" applyFill="1" applyBorder="1" applyAlignment="1"/>
    <xf numFmtId="0" fontId="0" fillId="2" borderId="27" xfId="0" applyFill="1" applyBorder="1" applyAlignment="1"/>
    <xf numFmtId="0" fontId="3" fillId="2" borderId="3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8" fillId="0" borderId="11" xfId="0" applyFont="1" applyBorder="1" applyAlignment="1">
      <alignment vertical="top" wrapText="1"/>
    </xf>
    <xf numFmtId="0" fontId="8" fillId="0" borderId="30" xfId="0" applyFont="1" applyBorder="1" applyAlignment="1">
      <alignment vertical="top" wrapText="1"/>
    </xf>
    <xf numFmtId="0" fontId="8" fillId="0" borderId="1" xfId="0" applyFont="1" applyBorder="1" applyAlignment="1">
      <alignment vertical="top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8" fillId="0" borderId="28" xfId="0" applyFont="1" applyBorder="1" applyAlignment="1">
      <alignment horizontal="justify" vertical="top" wrapText="1"/>
    </xf>
    <xf numFmtId="0" fontId="8" fillId="0" borderId="29" xfId="0" applyFont="1" applyBorder="1" applyAlignment="1">
      <alignment horizontal="justify" vertical="top" wrapText="1"/>
    </xf>
    <xf numFmtId="0" fontId="8" fillId="0" borderId="15" xfId="0" applyFont="1" applyBorder="1" applyAlignment="1">
      <alignment horizontal="justify" vertical="top" wrapText="1"/>
    </xf>
    <xf numFmtId="0" fontId="3" fillId="0" borderId="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wrapText="1"/>
    </xf>
    <xf numFmtId="0" fontId="3" fillId="0" borderId="24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30" xfId="0" applyFont="1" applyFill="1" applyBorder="1" applyAlignment="1">
      <alignment horizontal="center" vertical="center" wrapText="1"/>
    </xf>
    <xf numFmtId="0" fontId="11" fillId="3" borderId="25" xfId="0" applyFont="1" applyFill="1" applyBorder="1" applyAlignment="1">
      <alignment horizontal="center" vertical="center" wrapText="1"/>
    </xf>
    <xf numFmtId="0" fontId="0" fillId="3" borderId="26" xfId="0" applyFill="1" applyBorder="1" applyAlignment="1"/>
    <xf numFmtId="0" fontId="0" fillId="3" borderId="27" xfId="0" applyFill="1" applyBorder="1" applyAlignment="1"/>
    <xf numFmtId="0" fontId="11" fillId="5" borderId="25" xfId="0" applyFont="1" applyFill="1" applyBorder="1" applyAlignment="1">
      <alignment vertical="center" wrapText="1"/>
    </xf>
    <xf numFmtId="2" fontId="0" fillId="5" borderId="25" xfId="0" applyNumberFormat="1" applyFill="1" applyBorder="1"/>
    <xf numFmtId="2" fontId="0" fillId="5" borderId="27" xfId="0" applyNumberFormat="1" applyFill="1" applyBorder="1"/>
    <xf numFmtId="2" fontId="0" fillId="2" borderId="25" xfId="0" applyNumberFormat="1" applyFill="1" applyBorder="1"/>
    <xf numFmtId="2" fontId="0" fillId="2" borderId="27" xfId="0" applyNumberFormat="1" applyFill="1" applyBorder="1"/>
    <xf numFmtId="0" fontId="20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3" fillId="0" borderId="25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5" xfId="0" applyFont="1" applyFill="1" applyBorder="1" applyAlignment="1">
      <alignment horizontal="center" vertical="center" wrapText="1"/>
    </xf>
    <xf numFmtId="0" fontId="3" fillId="3" borderId="26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vertical="center" wrapText="1"/>
    </xf>
    <xf numFmtId="0" fontId="17" fillId="0" borderId="0" xfId="0" applyFont="1" applyAlignment="1"/>
    <xf numFmtId="0" fontId="0" fillId="0" borderId="0" xfId="0" applyAlignment="1"/>
    <xf numFmtId="0" fontId="19" fillId="0" borderId="29" xfId="0" applyFont="1" applyFill="1" applyBorder="1" applyAlignment="1"/>
    <xf numFmtId="2" fontId="15" fillId="0" borderId="2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19" fillId="0" borderId="28" xfId="0" applyFont="1" applyBorder="1" applyAlignment="1">
      <alignment horizontal="left" vertical="center" wrapText="1"/>
    </xf>
    <xf numFmtId="0" fontId="19" fillId="0" borderId="29" xfId="0" applyFont="1" applyBorder="1" applyAlignment="1">
      <alignment horizontal="left" vertical="center" wrapText="1"/>
    </xf>
    <xf numFmtId="0" fontId="19" fillId="0" borderId="15" xfId="0" applyFont="1" applyBorder="1" applyAlignment="1">
      <alignment horizontal="left" vertical="center" wrapText="1"/>
    </xf>
    <xf numFmtId="0" fontId="19" fillId="0" borderId="11" xfId="0" applyFont="1" applyBorder="1" applyAlignment="1">
      <alignment horizontal="left" vertical="center" wrapText="1"/>
    </xf>
    <xf numFmtId="0" fontId="19" fillId="0" borderId="30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166" fontId="15" fillId="0" borderId="2" xfId="0" applyNumberFormat="1" applyFont="1" applyFill="1" applyBorder="1" applyAlignment="1">
      <alignment horizontal="center" vertical="center"/>
    </xf>
    <xf numFmtId="0" fontId="23" fillId="0" borderId="2" xfId="0" applyFont="1" applyBorder="1"/>
    <xf numFmtId="0" fontId="23" fillId="5" borderId="2" xfId="0" applyFont="1" applyFill="1" applyBorder="1" applyAlignment="1">
      <alignment horizontal="center"/>
    </xf>
    <xf numFmtId="166" fontId="15" fillId="0" borderId="28" xfId="0" applyNumberFormat="1" applyFont="1" applyFill="1" applyBorder="1" applyAlignment="1">
      <alignment horizontal="center" vertical="center"/>
    </xf>
    <xf numFmtId="166" fontId="15" fillId="0" borderId="15" xfId="0" applyNumberFormat="1" applyFont="1" applyFill="1" applyBorder="1" applyAlignment="1">
      <alignment horizontal="center" vertical="center"/>
    </xf>
    <xf numFmtId="0" fontId="18" fillId="3" borderId="25" xfId="0" applyFont="1" applyFill="1" applyBorder="1" applyAlignment="1">
      <alignment horizontal="left"/>
    </xf>
    <xf numFmtId="0" fontId="18" fillId="3" borderId="26" xfId="0" applyFont="1" applyFill="1" applyBorder="1" applyAlignment="1">
      <alignment horizontal="left"/>
    </xf>
    <xf numFmtId="0" fontId="18" fillId="3" borderId="27" xfId="0" applyFont="1" applyFill="1" applyBorder="1" applyAlignment="1">
      <alignment horizontal="left"/>
    </xf>
    <xf numFmtId="0" fontId="19" fillId="0" borderId="2" xfId="0" applyFont="1" applyBorder="1" applyAlignment="1">
      <alignment horizontal="left" vertical="center" wrapText="1"/>
    </xf>
    <xf numFmtId="0" fontId="27" fillId="0" borderId="25" xfId="0" applyFont="1" applyBorder="1" applyAlignment="1">
      <alignment horizontal="center" wrapText="1"/>
    </xf>
    <xf numFmtId="0" fontId="27" fillId="0" borderId="27" xfId="0" applyFont="1" applyBorder="1" applyAlignment="1">
      <alignment horizontal="center" wrapText="1"/>
    </xf>
    <xf numFmtId="0" fontId="27" fillId="0" borderId="26" xfId="0" applyFont="1" applyBorder="1" applyAlignment="1">
      <alignment horizontal="center" wrapText="1"/>
    </xf>
    <xf numFmtId="0" fontId="27" fillId="0" borderId="52" xfId="0" applyFont="1" applyBorder="1" applyAlignment="1">
      <alignment horizontal="center" wrapText="1"/>
    </xf>
    <xf numFmtId="0" fontId="27" fillId="0" borderId="2" xfId="0" applyFont="1" applyBorder="1" applyAlignment="1">
      <alignment horizontal="center" vertical="center"/>
    </xf>
    <xf numFmtId="0" fontId="27" fillId="0" borderId="39" xfId="0" applyFont="1" applyBorder="1" applyAlignment="1">
      <alignment horizontal="center" wrapText="1"/>
    </xf>
    <xf numFmtId="0" fontId="27" fillId="0" borderId="40" xfId="0" applyFont="1" applyBorder="1" applyAlignment="1">
      <alignment horizontal="center" wrapText="1"/>
    </xf>
    <xf numFmtId="0" fontId="27" fillId="0" borderId="41" xfId="0" applyFont="1" applyBorder="1" applyAlignment="1">
      <alignment horizontal="center" wrapText="1"/>
    </xf>
    <xf numFmtId="0" fontId="27" fillId="0" borderId="43" xfId="0" applyFont="1" applyBorder="1" applyAlignment="1">
      <alignment horizontal="center" wrapText="1"/>
    </xf>
    <xf numFmtId="0" fontId="27" fillId="0" borderId="44" xfId="0" applyFont="1" applyBorder="1" applyAlignment="1">
      <alignment horizontal="center" wrapText="1"/>
    </xf>
    <xf numFmtId="0" fontId="27" fillId="0" borderId="51" xfId="0" applyFont="1" applyBorder="1" applyAlignment="1">
      <alignment horizontal="center" wrapText="1"/>
    </xf>
    <xf numFmtId="49" fontId="27" fillId="0" borderId="3" xfId="0" applyNumberFormat="1" applyFont="1" applyBorder="1" applyAlignment="1">
      <alignment horizontal="center" vertical="center"/>
    </xf>
    <xf numFmtId="49" fontId="27" fillId="0" borderId="4" xfId="0" applyNumberFormat="1" applyFont="1" applyBorder="1" applyAlignment="1">
      <alignment horizontal="center" vertical="center"/>
    </xf>
    <xf numFmtId="0" fontId="27" fillId="0" borderId="47" xfId="0" applyFont="1" applyBorder="1" applyAlignment="1">
      <alignment horizontal="center" wrapText="1"/>
    </xf>
    <xf numFmtId="0" fontId="27" fillId="0" borderId="48" xfId="0" applyFont="1" applyBorder="1" applyAlignment="1">
      <alignment horizontal="center" wrapText="1"/>
    </xf>
    <xf numFmtId="0" fontId="27" fillId="0" borderId="50" xfId="0" applyFont="1" applyBorder="1" applyAlignment="1">
      <alignment horizontal="center" wrapText="1"/>
    </xf>
    <xf numFmtId="0" fontId="27" fillId="0" borderId="3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7" xfId="0" applyFont="1" applyBorder="1" applyAlignment="1">
      <alignment horizontal="center"/>
    </xf>
    <xf numFmtId="0" fontId="27" fillId="0" borderId="28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15" xfId="0" applyFont="1" applyBorder="1" applyAlignment="1">
      <alignment horizontal="center"/>
    </xf>
    <xf numFmtId="0" fontId="27" fillId="0" borderId="11" xfId="0" applyFont="1" applyBorder="1" applyAlignment="1">
      <alignment horizontal="center"/>
    </xf>
    <xf numFmtId="0" fontId="27" fillId="0" borderId="3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0" borderId="31" xfId="0" applyFont="1" applyBorder="1" applyAlignment="1">
      <alignment horizontal="center" wrapText="1"/>
    </xf>
    <xf numFmtId="0" fontId="27" fillId="0" borderId="35" xfId="0" applyFont="1" applyBorder="1" applyAlignment="1">
      <alignment horizontal="center" wrapText="1"/>
    </xf>
    <xf numFmtId="0" fontId="27" fillId="0" borderId="32" xfId="0" applyFont="1" applyBorder="1" applyAlignment="1">
      <alignment horizontal="center" wrapText="1"/>
    </xf>
    <xf numFmtId="0" fontId="27" fillId="0" borderId="33" xfId="0" applyFont="1" applyBorder="1" applyAlignment="1">
      <alignment horizontal="center" wrapText="1"/>
    </xf>
    <xf numFmtId="0" fontId="27" fillId="0" borderId="34" xfId="0" applyFont="1" applyBorder="1" applyAlignment="1">
      <alignment horizontal="center" wrapText="1"/>
    </xf>
    <xf numFmtId="0" fontId="27" fillId="0" borderId="36" xfId="0" applyFont="1" applyBorder="1" applyAlignment="1">
      <alignment horizontal="center" wrapText="1"/>
    </xf>
    <xf numFmtId="0" fontId="27" fillId="0" borderId="37" xfId="0" applyFont="1" applyBorder="1" applyAlignment="1">
      <alignment horizontal="center" wrapText="1"/>
    </xf>
    <xf numFmtId="0" fontId="27" fillId="0" borderId="38" xfId="0" applyFont="1" applyBorder="1" applyAlignment="1">
      <alignment horizontal="center" wrapText="1"/>
    </xf>
    <xf numFmtId="49" fontId="27" fillId="0" borderId="0" xfId="0" applyNumberFormat="1" applyFont="1" applyAlignment="1">
      <alignment horizontal="center" vertical="center"/>
    </xf>
    <xf numFmtId="0" fontId="27" fillId="0" borderId="28" xfId="0" applyFont="1" applyBorder="1" applyAlignment="1">
      <alignment horizontal="left" vertical="center" wrapText="1"/>
    </xf>
    <xf numFmtId="0" fontId="27" fillId="0" borderId="29" xfId="0" applyFont="1" applyBorder="1" applyAlignment="1">
      <alignment horizontal="left" vertical="center" wrapText="1"/>
    </xf>
    <xf numFmtId="0" fontId="27" fillId="0" borderId="15" xfId="0" applyFont="1" applyBorder="1" applyAlignment="1">
      <alignment horizontal="left" vertical="center" wrapText="1"/>
    </xf>
    <xf numFmtId="0" fontId="27" fillId="0" borderId="11" xfId="0" applyFont="1" applyBorder="1" applyAlignment="1">
      <alignment horizontal="left" vertical="center" wrapText="1"/>
    </xf>
    <xf numFmtId="0" fontId="27" fillId="0" borderId="30" xfId="0" applyFont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27" fillId="0" borderId="3" xfId="0" applyFont="1" applyBorder="1" applyAlignment="1">
      <alignment horizontal="left" vertical="center"/>
    </xf>
    <xf numFmtId="0" fontId="27" fillId="0" borderId="4" xfId="0" applyFont="1" applyBorder="1" applyAlignment="1">
      <alignment horizontal="left" vertical="center"/>
    </xf>
    <xf numFmtId="0" fontId="27" fillId="0" borderId="49" xfId="0" applyFont="1" applyBorder="1" applyAlignment="1">
      <alignment horizontal="center" wrapText="1"/>
    </xf>
    <xf numFmtId="0" fontId="27" fillId="0" borderId="2" xfId="0" applyFont="1" applyBorder="1" applyAlignment="1">
      <alignment horizontal="left"/>
    </xf>
    <xf numFmtId="0" fontId="27" fillId="0" borderId="53" xfId="0" applyFont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0" borderId="54" xfId="0" applyFont="1" applyBorder="1" applyAlignment="1">
      <alignment horizontal="left"/>
    </xf>
    <xf numFmtId="0" fontId="27" fillId="0" borderId="11" xfId="0" applyFont="1" applyBorder="1" applyAlignment="1">
      <alignment horizontal="left"/>
    </xf>
    <xf numFmtId="0" fontId="27" fillId="0" borderId="30" xfId="0" applyFont="1" applyBorder="1" applyAlignment="1">
      <alignment horizontal="left"/>
    </xf>
    <xf numFmtId="0" fontId="27" fillId="0" borderId="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27" fillId="0" borderId="15" xfId="0" applyFont="1" applyBorder="1" applyAlignment="1">
      <alignment horizontal="left"/>
    </xf>
    <xf numFmtId="0" fontId="27" fillId="0" borderId="29" xfId="0" applyFont="1" applyBorder="1" applyAlignment="1">
      <alignment horizontal="left"/>
    </xf>
    <xf numFmtId="0" fontId="27" fillId="0" borderId="28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24" xfId="0" applyFont="1" applyBorder="1" applyAlignment="1">
      <alignment horizontal="center" vertical="center"/>
    </xf>
    <xf numFmtId="0" fontId="27" fillId="0" borderId="25" xfId="0" applyFont="1" applyBorder="1" applyAlignment="1">
      <alignment horizontal="left" vertical="center" wrapText="1"/>
    </xf>
    <xf numFmtId="0" fontId="27" fillId="0" borderId="26" xfId="0" applyFont="1" applyBorder="1" applyAlignment="1">
      <alignment horizontal="left" vertical="center" wrapText="1"/>
    </xf>
    <xf numFmtId="0" fontId="27" fillId="0" borderId="27" xfId="0" applyFont="1" applyBorder="1" applyAlignment="1">
      <alignment horizontal="left" vertical="center" wrapText="1"/>
    </xf>
    <xf numFmtId="0" fontId="27" fillId="0" borderId="28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 wrapText="1"/>
    </xf>
    <xf numFmtId="0" fontId="27" fillId="0" borderId="11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2" xfId="0" applyFont="1" applyBorder="1" applyAlignment="1">
      <alignment horizontal="left" vertical="center" wrapText="1"/>
    </xf>
    <xf numFmtId="0" fontId="27" fillId="0" borderId="28" xfId="0" applyFont="1" applyBorder="1" applyAlignment="1">
      <alignment horizontal="center" wrapText="1"/>
    </xf>
    <xf numFmtId="0" fontId="27" fillId="0" borderId="15" xfId="0" applyFont="1" applyBorder="1" applyAlignment="1">
      <alignment horizontal="center" wrapText="1"/>
    </xf>
    <xf numFmtId="0" fontId="27" fillId="0" borderId="11" xfId="0" applyFont="1" applyBorder="1" applyAlignment="1">
      <alignment horizontal="center" wrapText="1"/>
    </xf>
    <xf numFmtId="0" fontId="27" fillId="0" borderId="1" xfId="0" applyFont="1" applyBorder="1" applyAlignment="1">
      <alignment horizontal="center" wrapText="1"/>
    </xf>
    <xf numFmtId="0" fontId="27" fillId="0" borderId="25" xfId="0" applyFont="1" applyBorder="1" applyAlignment="1">
      <alignment horizontal="center" vertical="center" wrapText="1"/>
    </xf>
    <xf numFmtId="0" fontId="27" fillId="0" borderId="53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0" borderId="54" xfId="0" applyFont="1" applyBorder="1" applyAlignment="1">
      <alignment horizontal="center" vertical="center" wrapText="1"/>
    </xf>
    <xf numFmtId="164" fontId="27" fillId="0" borderId="3" xfId="0" applyNumberFormat="1" applyFont="1" applyBorder="1" applyAlignment="1">
      <alignment horizontal="center" vertical="center"/>
    </xf>
    <xf numFmtId="0" fontId="27" fillId="9" borderId="54" xfId="0" applyFont="1" applyFill="1" applyBorder="1"/>
    <xf numFmtId="164" fontId="27" fillId="0" borderId="54" xfId="0" applyNumberFormat="1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27" fillId="0" borderId="26" xfId="0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24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24" xfId="0" applyFont="1" applyBorder="1" applyAlignment="1">
      <alignment vertical="center"/>
    </xf>
    <xf numFmtId="0" fontId="27" fillId="9" borderId="24" xfId="0" applyFont="1" applyFill="1" applyBorder="1" applyAlignment="1">
      <alignment vertical="center"/>
    </xf>
    <xf numFmtId="0" fontId="27" fillId="9" borderId="4" xfId="0" applyFont="1" applyFill="1" applyBorder="1" applyAlignment="1">
      <alignment vertical="center"/>
    </xf>
    <xf numFmtId="0" fontId="27" fillId="9" borderId="53" xfId="0" applyFont="1" applyFill="1" applyBorder="1"/>
    <xf numFmtId="0" fontId="27" fillId="9" borderId="11" xfId="0" applyFont="1" applyFill="1" applyBorder="1"/>
    <xf numFmtId="0" fontId="27" fillId="9" borderId="1" xfId="0" applyFont="1" applyFill="1" applyBorder="1"/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2" dropStyle="combo" dx="22" fmlaLink="$D$14" fmlaRange="Лист3!$A$76:$B$77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9525</xdr:rowOff>
        </xdr:from>
        <xdr:to>
          <xdr:col>4</xdr:col>
          <xdr:colOff>0</xdr:colOff>
          <xdr:row>13</xdr:row>
          <xdr:rowOff>209550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0</xdr:row>
      <xdr:rowOff>0</xdr:rowOff>
    </xdr:from>
    <xdr:to>
      <xdr:col>8</xdr:col>
      <xdr:colOff>742950</xdr:colOff>
      <xdr:row>0</xdr:row>
      <xdr:rowOff>0</xdr:rowOff>
    </xdr:to>
    <xdr:pic>
      <xdr:nvPicPr>
        <xdr:cNvPr id="1077" name="Picture 5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6225" y="0"/>
          <a:ext cx="37433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317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64</xdr:row>
          <xdr:rowOff>152400</xdr:rowOff>
        </xdr:from>
        <xdr:to>
          <xdr:col>19</xdr:col>
          <xdr:colOff>790575</xdr:colOff>
          <xdr:row>68</xdr:row>
          <xdr:rowOff>76200</xdr:rowOff>
        </xdr:to>
        <xdr:sp macro="" textlink="">
          <xdr:nvSpPr>
            <xdr:cNvPr id="1078" name="Object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819150</xdr:colOff>
          <xdr:row>63</xdr:row>
          <xdr:rowOff>85725</xdr:rowOff>
        </xdr:from>
        <xdr:to>
          <xdr:col>21</xdr:col>
          <xdr:colOff>257175</xdr:colOff>
          <xdr:row>66</xdr:row>
          <xdr:rowOff>47625</xdr:rowOff>
        </xdr:to>
        <xdr:sp macro="" textlink="">
          <xdr:nvSpPr>
            <xdr:cNvPr id="1079" name="Object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65</xdr:row>
          <xdr:rowOff>57150</xdr:rowOff>
        </xdr:from>
        <xdr:to>
          <xdr:col>22</xdr:col>
          <xdr:colOff>723900</xdr:colOff>
          <xdr:row>68</xdr:row>
          <xdr:rowOff>19050</xdr:rowOff>
        </xdr:to>
        <xdr:sp macro="" textlink="">
          <xdr:nvSpPr>
            <xdr:cNvPr id="1080" name="Object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819150</xdr:colOff>
          <xdr:row>66</xdr:row>
          <xdr:rowOff>85725</xdr:rowOff>
        </xdr:from>
        <xdr:to>
          <xdr:col>21</xdr:col>
          <xdr:colOff>76200</xdr:colOff>
          <xdr:row>69</xdr:row>
          <xdr:rowOff>47625</xdr:rowOff>
        </xdr:to>
        <xdr:sp macro="" textlink="">
          <xdr:nvSpPr>
            <xdr:cNvPr id="1081" name="Object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22</xdr:row>
      <xdr:rowOff>114300</xdr:rowOff>
    </xdr:from>
    <xdr:to>
      <xdr:col>17</xdr:col>
      <xdr:colOff>66675</xdr:colOff>
      <xdr:row>33</xdr:row>
      <xdr:rowOff>123825</xdr:rowOff>
    </xdr:to>
    <xdr:pic>
      <xdr:nvPicPr>
        <xdr:cNvPr id="3073" name="Picture 1" descr="рис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4552950"/>
          <a:ext cx="4962525" cy="183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161925</xdr:colOff>
      <xdr:row>44</xdr:row>
      <xdr:rowOff>0</xdr:rowOff>
    </xdr:from>
    <xdr:to>
      <xdr:col>15</xdr:col>
      <xdr:colOff>514350</xdr:colOff>
      <xdr:row>54</xdr:row>
      <xdr:rowOff>142875</xdr:rowOff>
    </xdr:to>
    <xdr:pic>
      <xdr:nvPicPr>
        <xdr:cNvPr id="3077" name="Picture 5" descr="Рис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6925" y="8267700"/>
          <a:ext cx="4010025" cy="1771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76200</xdr:colOff>
      <xdr:row>33</xdr:row>
      <xdr:rowOff>47625</xdr:rowOff>
    </xdr:from>
    <xdr:to>
      <xdr:col>18</xdr:col>
      <xdr:colOff>276225</xdr:colOff>
      <xdr:row>43</xdr:row>
      <xdr:rowOff>152400</xdr:rowOff>
    </xdr:to>
    <xdr:pic>
      <xdr:nvPicPr>
        <xdr:cNvPr id="3079" name="Picture 7" descr="рис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6315075"/>
          <a:ext cx="5686425" cy="1933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85725</xdr:colOff>
      <xdr:row>0</xdr:row>
      <xdr:rowOff>257175</xdr:rowOff>
    </xdr:from>
    <xdr:to>
      <xdr:col>17</xdr:col>
      <xdr:colOff>114300</xdr:colOff>
      <xdr:row>11</xdr:row>
      <xdr:rowOff>38100</xdr:rowOff>
    </xdr:to>
    <xdr:pic>
      <xdr:nvPicPr>
        <xdr:cNvPr id="3082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0325" y="257175"/>
          <a:ext cx="4295775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3175">
          <a:solidFill>
            <a:srgbClr val="000000"/>
          </a:solidFill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Microsoft_Word_97_-_2003_Document3.doc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Microsoft_Word_97_-_2003_Document2.doc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Microsoft_Word_97_-_2003_Document4.doc"/><Relationship Id="rId4" Type="http://schemas.openxmlformats.org/officeDocument/2006/relationships/oleObject" Target="../embeddings/Microsoft_Word_97_-_2003_Document1.doc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J31"/>
  <sheetViews>
    <sheetView workbookViewId="0">
      <selection activeCell="C31" sqref="C31"/>
    </sheetView>
  </sheetViews>
  <sheetFormatPr defaultRowHeight="12.75" x14ac:dyDescent="0.2"/>
  <cols>
    <col min="2" max="2" width="22" customWidth="1"/>
    <col min="3" max="3" width="19.140625" customWidth="1"/>
    <col min="4" max="4" width="17" bestFit="1" customWidth="1"/>
    <col min="5" max="5" width="12.42578125" customWidth="1"/>
    <col min="6" max="7" width="19.5703125" customWidth="1"/>
    <col min="8" max="8" width="17.7109375" bestFit="1" customWidth="1"/>
    <col min="9" max="9" width="14" bestFit="1" customWidth="1"/>
    <col min="10" max="10" width="12.85546875" bestFit="1" customWidth="1"/>
  </cols>
  <sheetData>
    <row r="1" spans="2:10" ht="13.5" thickBot="1" x14ac:dyDescent="0.25"/>
    <row r="2" spans="2:10" ht="13.5" thickBot="1" x14ac:dyDescent="0.25">
      <c r="B2" s="185" t="s">
        <v>60</v>
      </c>
      <c r="C2" s="185"/>
      <c r="D2" s="185"/>
      <c r="E2" s="30" t="s">
        <v>61</v>
      </c>
      <c r="F2" s="30" t="s">
        <v>62</v>
      </c>
      <c r="G2" s="30" t="s">
        <v>64</v>
      </c>
      <c r="H2" s="30" t="s">
        <v>63</v>
      </c>
      <c r="I2" s="119" t="s">
        <v>187</v>
      </c>
    </row>
    <row r="3" spans="2:10" ht="13.5" thickBot="1" x14ac:dyDescent="0.25">
      <c r="B3" s="184" t="s">
        <v>207</v>
      </c>
      <c r="C3" s="184"/>
      <c r="D3" s="184"/>
      <c r="E3" s="32">
        <v>23</v>
      </c>
      <c r="F3" s="32">
        <v>84</v>
      </c>
      <c r="G3" s="82" t="s">
        <v>213</v>
      </c>
      <c r="H3" s="82" t="s">
        <v>214</v>
      </c>
      <c r="I3" s="118">
        <v>42798</v>
      </c>
    </row>
    <row r="4" spans="2:10" ht="13.5" thickBot="1" x14ac:dyDescent="0.25">
      <c r="B4" s="29"/>
      <c r="C4" s="29"/>
      <c r="D4" s="29"/>
      <c r="E4" s="29"/>
      <c r="F4" s="29"/>
      <c r="G4" s="29"/>
      <c r="H4" s="29">
        <v>100001</v>
      </c>
      <c r="I4" s="29"/>
    </row>
    <row r="5" spans="2:10" ht="13.5" thickBot="1" x14ac:dyDescent="0.25">
      <c r="B5" s="186" t="s">
        <v>82</v>
      </c>
      <c r="C5" s="187"/>
      <c r="D5" s="188"/>
      <c r="E5" s="29"/>
      <c r="F5" s="186" t="s">
        <v>81</v>
      </c>
      <c r="G5" s="187"/>
      <c r="H5" s="187"/>
      <c r="I5" s="187"/>
      <c r="J5" s="188"/>
    </row>
    <row r="6" spans="2:10" ht="13.5" thickBot="1" x14ac:dyDescent="0.25">
      <c r="B6" s="189" t="s">
        <v>52</v>
      </c>
      <c r="C6" s="189"/>
      <c r="D6" s="33" t="s">
        <v>59</v>
      </c>
      <c r="E6" s="29"/>
      <c r="F6" s="190" t="s">
        <v>66</v>
      </c>
      <c r="G6" s="191"/>
      <c r="H6" s="128" t="s">
        <v>69</v>
      </c>
      <c r="I6" s="128" t="s">
        <v>67</v>
      </c>
      <c r="J6" s="182" t="s">
        <v>83</v>
      </c>
    </row>
    <row r="7" spans="2:10" ht="13.5" thickBot="1" x14ac:dyDescent="0.25">
      <c r="B7" s="184" t="s">
        <v>53</v>
      </c>
      <c r="C7" s="184"/>
      <c r="D7" s="31" t="s">
        <v>104</v>
      </c>
      <c r="E7" s="29"/>
      <c r="F7" s="39"/>
      <c r="G7" s="41"/>
      <c r="H7" s="129" t="s">
        <v>68</v>
      </c>
      <c r="I7" s="129" t="s">
        <v>68</v>
      </c>
      <c r="J7" s="183"/>
    </row>
    <row r="8" spans="2:10" ht="13.5" thickBot="1" x14ac:dyDescent="0.25">
      <c r="B8" s="184" t="s">
        <v>54</v>
      </c>
      <c r="C8" s="184"/>
      <c r="D8" s="31" t="s">
        <v>211</v>
      </c>
      <c r="E8" s="29"/>
      <c r="F8" s="193" t="s">
        <v>72</v>
      </c>
      <c r="G8" s="194"/>
      <c r="H8" s="142" t="s">
        <v>73</v>
      </c>
      <c r="I8" s="130">
        <v>6</v>
      </c>
      <c r="J8" s="143"/>
    </row>
    <row r="9" spans="2:10" ht="13.5" thickBot="1" x14ac:dyDescent="0.25">
      <c r="B9" s="184" t="s">
        <v>55</v>
      </c>
      <c r="C9" s="184"/>
      <c r="D9" s="31" t="s">
        <v>103</v>
      </c>
      <c r="E9" s="29"/>
      <c r="F9" s="192" t="s">
        <v>70</v>
      </c>
      <c r="G9" s="192"/>
      <c r="H9" s="142" t="s">
        <v>71</v>
      </c>
      <c r="I9" s="131">
        <v>0</v>
      </c>
      <c r="J9" s="143"/>
    </row>
    <row r="10" spans="2:10" ht="13.5" thickBot="1" x14ac:dyDescent="0.25">
      <c r="B10" s="184" t="s">
        <v>56</v>
      </c>
      <c r="C10" s="184"/>
      <c r="D10" s="31" t="s">
        <v>208</v>
      </c>
      <c r="E10" s="29"/>
      <c r="F10" s="209" t="s">
        <v>135</v>
      </c>
      <c r="G10" s="210"/>
      <c r="H10" s="203" t="s">
        <v>74</v>
      </c>
      <c r="I10" s="206">
        <v>0</v>
      </c>
      <c r="J10" s="143"/>
    </row>
    <row r="11" spans="2:10" ht="13.5" thickBot="1" x14ac:dyDescent="0.25">
      <c r="B11" s="205" t="s">
        <v>57</v>
      </c>
      <c r="C11" s="205"/>
      <c r="D11" s="31" t="s">
        <v>219</v>
      </c>
      <c r="E11" s="29"/>
      <c r="F11" s="211"/>
      <c r="G11" s="212"/>
      <c r="H11" s="204"/>
      <c r="I11" s="207"/>
      <c r="J11" s="143"/>
    </row>
    <row r="12" spans="2:10" ht="13.5" thickBot="1" x14ac:dyDescent="0.25">
      <c r="B12" s="205" t="s">
        <v>58</v>
      </c>
      <c r="C12" s="205"/>
      <c r="D12" s="31" t="s">
        <v>212</v>
      </c>
      <c r="E12" s="29"/>
      <c r="F12" s="208" t="s">
        <v>75</v>
      </c>
      <c r="G12" s="208"/>
      <c r="H12" s="132" t="s">
        <v>76</v>
      </c>
      <c r="I12" s="131">
        <v>0</v>
      </c>
      <c r="J12" s="143"/>
    </row>
    <row r="13" spans="2:10" ht="13.5" thickBot="1" x14ac:dyDescent="0.25">
      <c r="B13" s="205" t="s">
        <v>102</v>
      </c>
      <c r="C13" s="205"/>
      <c r="D13" s="31">
        <v>4</v>
      </c>
      <c r="E13" s="29"/>
      <c r="F13" s="195" t="s">
        <v>77</v>
      </c>
      <c r="G13" s="52" t="s">
        <v>78</v>
      </c>
      <c r="H13" s="133" t="str">
        <f>IF(OR(D8="265А-5",D8="А-5",D8="265 А-5",D8="265а-5",D8="а-5",D8="265 а-5"),CONCATENATE(Лист3!E68,",0-",Лист3!F68," кгс/см2"),IF(E3&lt;27,CONCATENATE(Лист3!K61,"-",Лист3!L61," кгс/см2"),IF(AND(E3&gt;=27,E3&lt;32),CONCATENATE(Лист3!K62,"-",Лист3!L62," кгс/см2"),IF(AND(E3&gt;=32,E3&lt;36),CONCATENATE(Лист3!K63,"-",Лист3!L63," кгс/см2"),IF(AND(E3&gt;=36,E3&lt;45),CONCATENATE(Лист3!K64,"-",Лист3!L64," кгс/см2"),"Ошибка ТАРА")))))</f>
        <v>1,3-1,6 кгс/см2</v>
      </c>
      <c r="I13" s="134">
        <v>1.1399999999999999</v>
      </c>
      <c r="J13" s="134">
        <v>1</v>
      </c>
    </row>
    <row r="14" spans="2:10" ht="17.25" customHeight="1" thickBot="1" x14ac:dyDescent="0.25">
      <c r="B14" s="201" t="s">
        <v>188</v>
      </c>
      <c r="C14" s="202"/>
      <c r="D14" s="31">
        <v>2</v>
      </c>
      <c r="E14" s="29"/>
      <c r="F14" s="196"/>
      <c r="G14" s="54" t="s">
        <v>79</v>
      </c>
      <c r="H14" s="135" t="str">
        <f>IF(D14=1,CONCATENATE(Лист3!C72,"-",Лист3!D72," кгс/см2"),CONCATENATE(Лист3!E72,",0-",Лист3!F72," кгс/см2"))</f>
        <v>3,0-3,4 кгс/см2</v>
      </c>
      <c r="I14" s="136">
        <v>3.25</v>
      </c>
      <c r="J14" s="137">
        <f>IF(D14=1,Лист3!C72,Лист3!E72)</f>
        <v>3</v>
      </c>
    </row>
    <row r="15" spans="2:10" ht="13.5" thickBot="1" x14ac:dyDescent="0.25">
      <c r="F15" s="199" t="s">
        <v>80</v>
      </c>
      <c r="G15" s="50" t="s">
        <v>78</v>
      </c>
      <c r="H15" s="138" t="str">
        <f>IF(E3&lt;27,CONCATENATE(Лист3!K65,"-",Лист3!L65,",0 кгс/см2"),IF(AND(E3&gt;=27,E3&lt;32),CONCATENATE(Лист3!K66,"-",Лист3!L66," кгс/см2"),IF(AND(E3&gt;=32,E3&lt;36),CONCATENATE(Лист3!K67,"-",Лист3!L67," кгс/см2"),IF(AND(E3&gt;=36,E3&lt;45),CONCATENATE(Лист3!K68,"-",Лист3!L68," кгс/см2"),"Ошибка ТАРА"))))</f>
        <v>1,6-2,0 кгс/см2</v>
      </c>
      <c r="I15" s="139">
        <v>2.4</v>
      </c>
      <c r="J15" s="140"/>
    </row>
    <row r="16" spans="2:10" ht="13.5" thickBot="1" x14ac:dyDescent="0.25">
      <c r="B16" s="197" t="s">
        <v>96</v>
      </c>
      <c r="C16" s="198"/>
      <c r="D16" s="127" t="s">
        <v>185</v>
      </c>
      <c r="E16" s="116"/>
      <c r="F16" s="200"/>
      <c r="G16" s="51" t="s">
        <v>79</v>
      </c>
      <c r="H16" s="141" t="str">
        <f>IF(D14=1,CONCATENATE(Лист3!C73,"-",Лист3!D73," кгс/см2"),CONCATENATE(Лист3!E73,",0-",Лист3!F73," кгс/см2"))</f>
        <v>4,0-4,5 кгс/см2</v>
      </c>
      <c r="I16" s="136">
        <v>4</v>
      </c>
      <c r="J16" s="137"/>
    </row>
    <row r="17" spans="2:10" ht="13.5" thickBot="1" x14ac:dyDescent="0.25">
      <c r="B17" s="48" t="s">
        <v>97</v>
      </c>
      <c r="C17" s="77">
        <v>14</v>
      </c>
      <c r="D17" s="117" t="s">
        <v>186</v>
      </c>
      <c r="E17" s="2">
        <v>21</v>
      </c>
      <c r="F17" s="29"/>
      <c r="G17" s="29"/>
      <c r="H17" s="29"/>
      <c r="I17" s="34"/>
      <c r="J17" s="17"/>
    </row>
    <row r="18" spans="2:10" ht="13.5" thickBot="1" x14ac:dyDescent="0.25">
      <c r="B18" s="49" t="s">
        <v>98</v>
      </c>
      <c r="C18" s="175"/>
      <c r="F18" s="34"/>
      <c r="G18" s="35"/>
      <c r="H18" s="34"/>
      <c r="I18" s="34"/>
      <c r="J18" s="17"/>
    </row>
    <row r="19" spans="2:10" ht="13.5" thickBot="1" x14ac:dyDescent="0.25">
      <c r="F19" s="37"/>
      <c r="G19" s="36"/>
      <c r="H19" s="37"/>
      <c r="I19" s="37"/>
      <c r="J19" s="17"/>
    </row>
    <row r="20" spans="2:10" ht="13.5" thickBot="1" x14ac:dyDescent="0.25">
      <c r="B20" s="186" t="s">
        <v>91</v>
      </c>
      <c r="C20" s="187"/>
      <c r="D20" s="187"/>
      <c r="E20" s="188"/>
      <c r="F20" s="186" t="s">
        <v>194</v>
      </c>
      <c r="G20" s="187"/>
      <c r="H20" s="187"/>
      <c r="I20" s="187"/>
      <c r="J20" s="188"/>
    </row>
    <row r="21" spans="2:10" ht="13.5" thickBot="1" x14ac:dyDescent="0.25">
      <c r="B21" s="213" t="s">
        <v>84</v>
      </c>
      <c r="C21" s="215" t="s">
        <v>95</v>
      </c>
      <c r="D21" s="217" t="s">
        <v>85</v>
      </c>
      <c r="E21" s="215" t="s">
        <v>95</v>
      </c>
      <c r="F21" s="148" t="s">
        <v>3</v>
      </c>
      <c r="G21" s="148" t="s">
        <v>197</v>
      </c>
      <c r="H21" s="148" t="s">
        <v>22</v>
      </c>
      <c r="I21" s="43" t="s">
        <v>195</v>
      </c>
      <c r="J21" s="43" t="s">
        <v>196</v>
      </c>
    </row>
    <row r="22" spans="2:10" ht="13.5" thickBot="1" x14ac:dyDescent="0.25">
      <c r="B22" s="214"/>
      <c r="C22" s="216"/>
      <c r="D22" s="218"/>
      <c r="E22" s="216"/>
      <c r="F22" s="219" t="s">
        <v>193</v>
      </c>
      <c r="G22" s="219" t="s">
        <v>198</v>
      </c>
      <c r="H22" s="144" t="s">
        <v>78</v>
      </c>
      <c r="I22" s="145">
        <v>70</v>
      </c>
      <c r="J22" s="145">
        <v>71</v>
      </c>
    </row>
    <row r="23" spans="2:10" ht="13.5" thickBot="1" x14ac:dyDescent="0.25">
      <c r="B23" s="40" t="s">
        <v>86</v>
      </c>
      <c r="C23" s="31">
        <v>177</v>
      </c>
      <c r="D23" s="40" t="s">
        <v>86</v>
      </c>
      <c r="E23" s="31">
        <v>177</v>
      </c>
      <c r="F23" s="220"/>
      <c r="G23" s="221"/>
      <c r="H23" s="144" t="s">
        <v>79</v>
      </c>
      <c r="I23" s="145">
        <v>90</v>
      </c>
      <c r="J23" s="145">
        <v>92</v>
      </c>
    </row>
    <row r="24" spans="2:10" ht="13.5" thickBot="1" x14ac:dyDescent="0.25">
      <c r="B24" s="40" t="s">
        <v>87</v>
      </c>
      <c r="C24" s="160">
        <v>385</v>
      </c>
      <c r="D24" s="40" t="s">
        <v>87</v>
      </c>
      <c r="E24" s="160">
        <v>387</v>
      </c>
      <c r="F24" s="220"/>
      <c r="G24" s="219" t="s">
        <v>199</v>
      </c>
      <c r="H24" s="144" t="s">
        <v>78</v>
      </c>
      <c r="I24" s="145"/>
      <c r="J24" s="145"/>
    </row>
    <row r="25" spans="2:10" ht="13.5" thickBot="1" x14ac:dyDescent="0.25">
      <c r="B25" s="40" t="s">
        <v>88</v>
      </c>
      <c r="C25" s="31">
        <v>950</v>
      </c>
      <c r="D25" s="40" t="s">
        <v>88</v>
      </c>
      <c r="E25" s="31">
        <v>950</v>
      </c>
      <c r="F25" s="221"/>
      <c r="G25" s="221"/>
      <c r="H25" s="144" t="s">
        <v>79</v>
      </c>
      <c r="I25" s="145"/>
      <c r="J25" s="145"/>
    </row>
    <row r="26" spans="2:10" ht="13.5" thickBot="1" x14ac:dyDescent="0.25">
      <c r="B26" s="40" t="s">
        <v>89</v>
      </c>
      <c r="C26" s="31"/>
      <c r="D26" s="40" t="s">
        <v>89</v>
      </c>
      <c r="E26" s="31"/>
      <c r="F26" s="222" t="s">
        <v>34</v>
      </c>
      <c r="G26" s="222" t="s">
        <v>198</v>
      </c>
      <c r="H26" s="146" t="s">
        <v>78</v>
      </c>
      <c r="I26" s="147"/>
      <c r="J26" s="147"/>
    </row>
    <row r="27" spans="2:10" ht="13.5" thickBot="1" x14ac:dyDescent="0.25">
      <c r="B27" s="40" t="s">
        <v>90</v>
      </c>
      <c r="C27" s="31">
        <v>57</v>
      </c>
      <c r="D27" s="40" t="s">
        <v>90</v>
      </c>
      <c r="E27" s="31">
        <v>56</v>
      </c>
      <c r="F27" s="223"/>
      <c r="G27" s="224"/>
      <c r="H27" s="146" t="s">
        <v>79</v>
      </c>
      <c r="I27" s="147"/>
      <c r="J27" s="147"/>
    </row>
    <row r="28" spans="2:10" ht="13.5" thickBot="1" x14ac:dyDescent="0.25">
      <c r="B28" s="40" t="s">
        <v>92</v>
      </c>
      <c r="C28" s="31">
        <v>270</v>
      </c>
      <c r="D28" s="40" t="s">
        <v>92</v>
      </c>
      <c r="E28" s="31">
        <v>270</v>
      </c>
      <c r="F28" s="223"/>
      <c r="G28" s="222" t="s">
        <v>199</v>
      </c>
      <c r="H28" s="146" t="s">
        <v>78</v>
      </c>
      <c r="I28" s="147"/>
      <c r="J28" s="147"/>
    </row>
    <row r="29" spans="2:10" ht="13.5" thickBot="1" x14ac:dyDescent="0.25">
      <c r="B29" s="40" t="s">
        <v>93</v>
      </c>
      <c r="C29" s="176">
        <v>21</v>
      </c>
      <c r="D29" s="40" t="s">
        <v>93</v>
      </c>
      <c r="E29" s="176">
        <v>22</v>
      </c>
      <c r="F29" s="224"/>
      <c r="G29" s="224"/>
      <c r="H29" s="146" t="s">
        <v>79</v>
      </c>
      <c r="I29" s="147"/>
      <c r="J29" s="147"/>
    </row>
    <row r="30" spans="2:10" ht="13.5" thickBot="1" x14ac:dyDescent="0.25">
      <c r="B30" s="40" t="s">
        <v>94</v>
      </c>
      <c r="C30" s="31">
        <v>5</v>
      </c>
      <c r="D30" s="40" t="s">
        <v>94</v>
      </c>
      <c r="E30" s="31">
        <v>5</v>
      </c>
      <c r="F30" s="28"/>
      <c r="G30" s="27"/>
      <c r="H30" s="28"/>
      <c r="I30" s="28"/>
      <c r="J30" s="17"/>
    </row>
    <row r="31" spans="2:10" x14ac:dyDescent="0.2">
      <c r="F31" s="28"/>
      <c r="G31" s="27"/>
      <c r="H31" s="28"/>
      <c r="I31" s="28"/>
      <c r="J31" s="17"/>
    </row>
  </sheetData>
  <mergeCells count="36">
    <mergeCell ref="F20:J20"/>
    <mergeCell ref="F22:F25"/>
    <mergeCell ref="F26:F29"/>
    <mergeCell ref="G22:G23"/>
    <mergeCell ref="G24:G25"/>
    <mergeCell ref="G26:G27"/>
    <mergeCell ref="G28:G29"/>
    <mergeCell ref="B20:E20"/>
    <mergeCell ref="B21:B22"/>
    <mergeCell ref="C21:C22"/>
    <mergeCell ref="D21:D22"/>
    <mergeCell ref="E21:E22"/>
    <mergeCell ref="I10:I11"/>
    <mergeCell ref="B11:C11"/>
    <mergeCell ref="B12:C12"/>
    <mergeCell ref="F12:G12"/>
    <mergeCell ref="F10:G11"/>
    <mergeCell ref="F13:F14"/>
    <mergeCell ref="B16:C16"/>
    <mergeCell ref="F15:F16"/>
    <mergeCell ref="B14:C14"/>
    <mergeCell ref="H10:H11"/>
    <mergeCell ref="B13:C13"/>
    <mergeCell ref="B8:C8"/>
    <mergeCell ref="B9:C9"/>
    <mergeCell ref="F9:G9"/>
    <mergeCell ref="B10:C10"/>
    <mergeCell ref="F8:G8"/>
    <mergeCell ref="J6:J7"/>
    <mergeCell ref="B7:C7"/>
    <mergeCell ref="B2:D2"/>
    <mergeCell ref="B3:D3"/>
    <mergeCell ref="B5:D5"/>
    <mergeCell ref="F5:J5"/>
    <mergeCell ref="B6:C6"/>
    <mergeCell ref="F6:G6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rop Down 4">
              <controlPr defaultSize="0" autoLine="0" autoPict="0">
                <anchor moveWithCells="1">
                  <from>
                    <xdr:col>3</xdr:col>
                    <xdr:colOff>0</xdr:colOff>
                    <xdr:row>13</xdr:row>
                    <xdr:rowOff>9525</xdr:rowOff>
                  </from>
                  <to>
                    <xdr:col>4</xdr:col>
                    <xdr:colOff>0</xdr:colOff>
                    <xdr:row>13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AB68"/>
  <sheetViews>
    <sheetView topLeftCell="I37" zoomScale="85" zoomScaleNormal="85" workbookViewId="0">
      <selection activeCell="I54" sqref="I54:J57"/>
    </sheetView>
  </sheetViews>
  <sheetFormatPr defaultRowHeight="12.75" x14ac:dyDescent="0.2"/>
  <cols>
    <col min="1" max="1" width="7" customWidth="1"/>
    <col min="2" max="2" width="10.28515625" bestFit="1" customWidth="1"/>
    <col min="3" max="3" width="11.140625" customWidth="1"/>
    <col min="4" max="4" width="15.42578125" bestFit="1" customWidth="1"/>
    <col min="5" max="5" width="13.85546875" bestFit="1" customWidth="1"/>
    <col min="6" max="6" width="19.85546875" customWidth="1"/>
    <col min="7" max="7" width="11.28515625" bestFit="1" customWidth="1"/>
    <col min="8" max="8" width="17.42578125" customWidth="1"/>
    <col min="9" max="9" width="11.85546875" customWidth="1"/>
    <col min="13" max="13" width="14.140625" customWidth="1"/>
    <col min="15" max="15" width="7.140625" customWidth="1"/>
    <col min="17" max="17" width="10.5703125" customWidth="1"/>
    <col min="18" max="18" width="10.28515625" customWidth="1"/>
    <col min="20" max="20" width="16.42578125" customWidth="1"/>
    <col min="21" max="21" width="12" customWidth="1"/>
    <col min="22" max="22" width="12.28515625" customWidth="1"/>
    <col min="23" max="23" width="14.28515625" customWidth="1"/>
  </cols>
  <sheetData>
    <row r="1" spans="2:27" ht="13.5" thickBot="1" x14ac:dyDescent="0.25"/>
    <row r="2" spans="2:27" ht="60" customHeight="1" thickBot="1" x14ac:dyDescent="0.25">
      <c r="B2" s="275" t="s">
        <v>1</v>
      </c>
      <c r="C2" s="275" t="s">
        <v>2</v>
      </c>
      <c r="D2" s="275" t="s">
        <v>3</v>
      </c>
      <c r="E2" s="275" t="s">
        <v>22</v>
      </c>
      <c r="F2" s="275" t="s">
        <v>4</v>
      </c>
      <c r="G2" s="275" t="s">
        <v>0</v>
      </c>
      <c r="H2" s="275" t="s">
        <v>5</v>
      </c>
      <c r="I2" s="278" t="s">
        <v>6</v>
      </c>
      <c r="J2" s="279"/>
      <c r="K2" s="279"/>
      <c r="L2" s="280"/>
    </row>
    <row r="3" spans="2:27" ht="13.5" thickBot="1" x14ac:dyDescent="0.25">
      <c r="B3" s="276"/>
      <c r="C3" s="276"/>
      <c r="D3" s="276"/>
      <c r="E3" s="276"/>
      <c r="F3" s="276"/>
      <c r="G3" s="276"/>
      <c r="H3" s="276"/>
      <c r="I3" s="278" t="s">
        <v>7</v>
      </c>
      <c r="J3" s="279"/>
      <c r="K3" s="279"/>
      <c r="L3" s="280"/>
    </row>
    <row r="4" spans="2:27" ht="15.75" thickBot="1" x14ac:dyDescent="0.25">
      <c r="B4" s="277"/>
      <c r="C4" s="277"/>
      <c r="D4" s="277"/>
      <c r="E4" s="277"/>
      <c r="F4" s="277"/>
      <c r="G4" s="277"/>
      <c r="H4" s="277"/>
      <c r="I4" s="76" t="s">
        <v>35</v>
      </c>
      <c r="J4" s="76" t="s">
        <v>36</v>
      </c>
      <c r="K4" s="76" t="s">
        <v>37</v>
      </c>
      <c r="L4" s="76" t="s">
        <v>38</v>
      </c>
      <c r="V4" t="s">
        <v>209</v>
      </c>
      <c r="W4" t="s">
        <v>210</v>
      </c>
    </row>
    <row r="5" spans="2:27" ht="17.100000000000001" customHeight="1" thickBot="1" x14ac:dyDescent="0.25">
      <c r="B5" s="53">
        <v>1</v>
      </c>
      <c r="C5" s="249" t="s">
        <v>20</v>
      </c>
      <c r="D5" s="242" t="s">
        <v>8</v>
      </c>
      <c r="E5" s="242" t="s">
        <v>9</v>
      </c>
      <c r="F5" s="242" t="s">
        <v>10</v>
      </c>
      <c r="G5" s="240" t="s">
        <v>11</v>
      </c>
      <c r="H5" s="55" t="s">
        <v>12</v>
      </c>
      <c r="I5" s="66">
        <v>881</v>
      </c>
      <c r="J5" s="20">
        <v>878</v>
      </c>
      <c r="K5" s="65">
        <v>870</v>
      </c>
      <c r="L5" s="20">
        <v>872</v>
      </c>
      <c r="M5" s="266">
        <f>(MAX(I5:L8)-MIN(I5:L8))/MIN(I5:L8)*100</f>
        <v>8.536585365853659</v>
      </c>
      <c r="N5" s="267"/>
      <c r="O5">
        <f>MAX(I5:L8)</f>
        <v>890</v>
      </c>
      <c r="Q5" s="262" t="s">
        <v>27</v>
      </c>
      <c r="R5" s="263"/>
      <c r="S5" s="263"/>
      <c r="T5" s="263"/>
      <c r="U5" s="264"/>
      <c r="V5" s="63" t="s">
        <v>28</v>
      </c>
    </row>
    <row r="6" spans="2:27" ht="17.100000000000001" customHeight="1" thickBot="1" x14ac:dyDescent="0.25">
      <c r="B6" s="53">
        <v>2</v>
      </c>
      <c r="C6" s="250"/>
      <c r="D6" s="252"/>
      <c r="E6" s="252"/>
      <c r="F6" s="252"/>
      <c r="G6" s="241"/>
      <c r="H6" s="55" t="s">
        <v>13</v>
      </c>
      <c r="I6" s="66">
        <v>831</v>
      </c>
      <c r="J6" s="22">
        <v>828</v>
      </c>
      <c r="K6" s="66">
        <v>820</v>
      </c>
      <c r="L6" s="22">
        <v>822</v>
      </c>
      <c r="M6" s="266"/>
      <c r="N6" s="267"/>
      <c r="O6">
        <f>MIN(I5:L8)</f>
        <v>820</v>
      </c>
      <c r="Q6" s="265" t="s">
        <v>43</v>
      </c>
      <c r="R6" s="229"/>
      <c r="S6" s="229"/>
      <c r="T6" s="229"/>
      <c r="U6" s="230"/>
      <c r="V6" s="44">
        <f>(MAX(O5,O21)-MIN(O6,O22))/MIN(O6,O22)*100</f>
        <v>8.536585365853659</v>
      </c>
      <c r="W6" s="44">
        <f>MAX((MAX(I5:I8,I21:I24)-MIN(I5:I8,I21:I24))/MAX(I5:I8,I21:I24),(MAX(J5:J8,J21:J24)-MIN(J5:J8,J21:J24))/MAX(J5:J8,J21:J24),(MAX(K5:K8,K21:K24)-MIN(K5:K8,K21:K24))/MAX(K5:K8,K21:K24),(MAX(L5:L8,L21:L24)-MIN(L5:L8,L21:L24))/MAX(L5:L8,L21:L24))*100</f>
        <v>7.1347678369195924</v>
      </c>
      <c r="X6">
        <f>I5-40</f>
        <v>841</v>
      </c>
      <c r="Y6">
        <f>J5-40</f>
        <v>838</v>
      </c>
      <c r="Z6">
        <f>K5-40</f>
        <v>830</v>
      </c>
      <c r="AA6">
        <f>L5-40</f>
        <v>832</v>
      </c>
    </row>
    <row r="7" spans="2:27" ht="17.100000000000001" customHeight="1" thickBot="1" x14ac:dyDescent="0.25">
      <c r="B7" s="53">
        <v>3</v>
      </c>
      <c r="C7" s="250"/>
      <c r="D7" s="252"/>
      <c r="E7" s="252"/>
      <c r="F7" s="252"/>
      <c r="G7" s="56" t="s">
        <v>14</v>
      </c>
      <c r="H7" s="242" t="s">
        <v>12</v>
      </c>
      <c r="I7" s="66">
        <v>890</v>
      </c>
      <c r="J7" s="22">
        <v>887</v>
      </c>
      <c r="K7" s="66">
        <v>875</v>
      </c>
      <c r="L7" s="22">
        <v>881</v>
      </c>
      <c r="M7" s="266"/>
      <c r="N7" s="267"/>
      <c r="Q7" s="265" t="s">
        <v>44</v>
      </c>
      <c r="R7" s="229"/>
      <c r="S7" s="229"/>
      <c r="T7" s="229"/>
      <c r="U7" s="230"/>
      <c r="V7" s="75">
        <f>(MAX(O9,O25)-MIN(O10,O26))/MIN(O10,O26)*100</f>
        <v>7.1343638525564801</v>
      </c>
      <c r="W7" s="75">
        <f>MAX((MAX(I9:I12,I25:I28)-MIN(I9:I12,I25:I28))/MAX(I9:I12,I25:I28),(MAX(J9:J12,J25:J28)-MIN(J9:J12,J25:J28))/MAX(J9:J12,J25:J28),(MAX(K9:K12,K25:K28)-MIN(K9:K12,K25:K28))/MAX(K9:K12,K25:K28),(MAX(L9:L12,L25:L28)-MIN(L9:L12,L25:L28))/MAX(L9:L12,L25:L28))*100</f>
        <v>6.659267480577137</v>
      </c>
      <c r="X7">
        <f ca="1">ROUND(I5+RAND()*10,0)</f>
        <v>888</v>
      </c>
      <c r="Y7">
        <f ca="1">ROUND(J5+RAND()*10,0)</f>
        <v>883</v>
      </c>
      <c r="Z7">
        <f ca="1">ROUND(K5+RAND()*10,0)</f>
        <v>876</v>
      </c>
      <c r="AA7">
        <f ca="1">ROUND(L5+RAND()*10,0)</f>
        <v>875</v>
      </c>
    </row>
    <row r="8" spans="2:27" ht="17.100000000000001" customHeight="1" thickBot="1" x14ac:dyDescent="0.25">
      <c r="B8" s="53">
        <v>4</v>
      </c>
      <c r="C8" s="250"/>
      <c r="D8" s="252"/>
      <c r="E8" s="243"/>
      <c r="F8" s="243"/>
      <c r="G8" s="56" t="s">
        <v>15</v>
      </c>
      <c r="H8" s="243"/>
      <c r="I8" s="66">
        <v>876</v>
      </c>
      <c r="J8" s="83">
        <v>874</v>
      </c>
      <c r="K8" s="84">
        <v>870</v>
      </c>
      <c r="L8" s="85">
        <v>871</v>
      </c>
      <c r="M8" s="266"/>
      <c r="N8" s="267"/>
      <c r="Q8" s="281" t="s">
        <v>45</v>
      </c>
      <c r="R8" s="232"/>
      <c r="S8" s="232"/>
      <c r="T8" s="232"/>
      <c r="U8" s="233"/>
      <c r="V8" s="75" t="e">
        <f>(MAX(O13,O29)-MIN(O14,O30))/MIN(O14,O30)*100</f>
        <v>#DIV/0!</v>
      </c>
      <c r="X8">
        <f ca="1">ROUND(I5-RAND()*10,0)</f>
        <v>875</v>
      </c>
      <c r="Y8">
        <f ca="1">ROUND(J5-RAND()*10,0)</f>
        <v>873</v>
      </c>
      <c r="Z8">
        <f ca="1">ROUND(K5-RAND()*10,0)</f>
        <v>870</v>
      </c>
      <c r="AA8">
        <f ca="1">ROUND(L5-RAND()*10,0)</f>
        <v>867</v>
      </c>
    </row>
    <row r="9" spans="2:27" ht="17.100000000000001" customHeight="1" thickBot="1" x14ac:dyDescent="0.25">
      <c r="B9" s="53">
        <v>5</v>
      </c>
      <c r="C9" s="250"/>
      <c r="D9" s="252"/>
      <c r="E9" s="242" t="s">
        <v>16</v>
      </c>
      <c r="F9" s="242" t="s">
        <v>10</v>
      </c>
      <c r="G9" s="240" t="s">
        <v>11</v>
      </c>
      <c r="H9" s="55" t="s">
        <v>12</v>
      </c>
      <c r="I9" s="19">
        <v>2592</v>
      </c>
      <c r="J9" s="20">
        <v>2646</v>
      </c>
      <c r="K9" s="19">
        <v>2703</v>
      </c>
      <c r="L9" s="20">
        <v>2605</v>
      </c>
      <c r="M9" s="266">
        <f>(MAX(I9:L12)-MIN(I9:L12))/MIN(I9:L12)*100</f>
        <v>4.2824074074074074</v>
      </c>
      <c r="N9" s="267"/>
      <c r="O9">
        <f>MAX(I9:L12)</f>
        <v>2703</v>
      </c>
      <c r="P9" t="s">
        <v>200</v>
      </c>
      <c r="Q9" s="281" t="s">
        <v>46</v>
      </c>
      <c r="R9" s="232"/>
      <c r="S9" s="232"/>
      <c r="T9" s="232"/>
      <c r="U9" s="233"/>
      <c r="V9" s="75" t="e">
        <f>(MAX(O17,O33)-MIN(O18,O34))/MIN(O18,O34)*100</f>
        <v>#DIV/0!</v>
      </c>
    </row>
    <row r="10" spans="2:27" ht="17.100000000000001" customHeight="1" thickBot="1" x14ac:dyDescent="0.25">
      <c r="B10" s="53">
        <v>6</v>
      </c>
      <c r="C10" s="250"/>
      <c r="D10" s="252"/>
      <c r="E10" s="252"/>
      <c r="F10" s="252"/>
      <c r="G10" s="241"/>
      <c r="H10" s="55" t="s">
        <v>13</v>
      </c>
      <c r="I10" s="21">
        <v>2646</v>
      </c>
      <c r="J10" s="22">
        <v>2615</v>
      </c>
      <c r="K10" s="21">
        <v>2679</v>
      </c>
      <c r="L10" s="22">
        <v>2608</v>
      </c>
      <c r="M10" s="266"/>
      <c r="N10" s="267"/>
      <c r="O10">
        <f>MIN(I9:L12)</f>
        <v>2592</v>
      </c>
      <c r="P10" t="s">
        <v>201</v>
      </c>
      <c r="X10">
        <f>I9-40</f>
        <v>2552</v>
      </c>
      <c r="Y10">
        <f>J9-40</f>
        <v>2606</v>
      </c>
      <c r="Z10">
        <f>K9-40</f>
        <v>2663</v>
      </c>
      <c r="AA10">
        <f>L9-40</f>
        <v>2565</v>
      </c>
    </row>
    <row r="11" spans="2:27" ht="17.100000000000001" customHeight="1" thickBot="1" x14ac:dyDescent="0.25">
      <c r="B11" s="53">
        <v>7</v>
      </c>
      <c r="C11" s="250"/>
      <c r="D11" s="252"/>
      <c r="E11" s="252"/>
      <c r="F11" s="252"/>
      <c r="G11" s="56" t="s">
        <v>14</v>
      </c>
      <c r="H11" s="242" t="s">
        <v>12</v>
      </c>
      <c r="I11" s="21">
        <v>2612</v>
      </c>
      <c r="J11" s="22">
        <v>2596</v>
      </c>
      <c r="K11" s="21">
        <v>2617</v>
      </c>
      <c r="L11" s="22">
        <v>2689</v>
      </c>
      <c r="M11" s="266"/>
      <c r="N11" s="267"/>
      <c r="Q11" s="258" t="s">
        <v>27</v>
      </c>
      <c r="R11" s="259"/>
      <c r="S11" s="259"/>
      <c r="T11" s="259"/>
      <c r="U11" s="259"/>
      <c r="V11" s="256" t="s">
        <v>206</v>
      </c>
      <c r="X11">
        <f ca="1">ROUND(I9+RAND()*10,0)</f>
        <v>2596</v>
      </c>
      <c r="Y11">
        <f ca="1">ROUND(J9+RAND()*10,0)</f>
        <v>2654</v>
      </c>
      <c r="Z11">
        <f ca="1">ROUND(K9+RAND()*10,0)</f>
        <v>2704</v>
      </c>
      <c r="AA11">
        <f ca="1">ROUND(L9+RAND()*10,0)</f>
        <v>2606</v>
      </c>
    </row>
    <row r="12" spans="2:27" ht="17.100000000000001" customHeight="1" thickBot="1" x14ac:dyDescent="0.25">
      <c r="B12" s="53">
        <v>8</v>
      </c>
      <c r="C12" s="250"/>
      <c r="D12" s="243"/>
      <c r="E12" s="243"/>
      <c r="F12" s="243"/>
      <c r="G12" s="56" t="s">
        <v>15</v>
      </c>
      <c r="H12" s="243"/>
      <c r="I12" s="23">
        <v>2691</v>
      </c>
      <c r="J12" s="24">
        <v>2605</v>
      </c>
      <c r="K12" s="67">
        <v>2637</v>
      </c>
      <c r="L12" s="24">
        <v>2629</v>
      </c>
      <c r="M12" s="266"/>
      <c r="N12" s="267"/>
      <c r="P12" s="152"/>
      <c r="Q12" s="260"/>
      <c r="R12" s="261"/>
      <c r="S12" s="261"/>
      <c r="T12" s="261"/>
      <c r="U12" s="261"/>
      <c r="V12" s="257"/>
      <c r="X12">
        <f ca="1">ROUND(I9-RAND()*10,0)</f>
        <v>2583</v>
      </c>
      <c r="Y12">
        <f ca="1">ROUND(J9-RAND()*10,0)</f>
        <v>2640</v>
      </c>
      <c r="Z12">
        <f ca="1">ROUND(K9-RAND()*10,0)</f>
        <v>2700</v>
      </c>
      <c r="AA12">
        <f ca="1">ROUND(L9-RAND()*10,0)</f>
        <v>2598</v>
      </c>
    </row>
    <row r="13" spans="2:27" ht="17.100000000000001" customHeight="1" thickBot="1" x14ac:dyDescent="0.25">
      <c r="B13" s="7">
        <v>9</v>
      </c>
      <c r="C13" s="250"/>
      <c r="D13" s="234" t="s">
        <v>17</v>
      </c>
      <c r="E13" s="234" t="s">
        <v>9</v>
      </c>
      <c r="F13" s="234" t="s">
        <v>16</v>
      </c>
      <c r="G13" s="244" t="s">
        <v>11</v>
      </c>
      <c r="H13" s="61" t="s">
        <v>12</v>
      </c>
      <c r="I13" s="19"/>
      <c r="J13" s="154"/>
      <c r="K13" s="155"/>
      <c r="L13" s="154"/>
      <c r="M13" s="268" t="e">
        <f>(MAX(I13:L16)-MIN(I13:L16))/MIN(I13:L16)*100</f>
        <v>#DIV/0!</v>
      </c>
      <c r="N13" s="269"/>
      <c r="O13">
        <f>MAX(I13:L16)</f>
        <v>0</v>
      </c>
      <c r="P13" t="s">
        <v>200</v>
      </c>
      <c r="Q13" s="265" t="s">
        <v>203</v>
      </c>
      <c r="R13" s="229"/>
      <c r="S13" s="229"/>
      <c r="T13" s="229"/>
      <c r="U13" s="230"/>
      <c r="V13" s="153">
        <f>AVERAGE(I5:L8)/1000</f>
        <v>0.86412500000000003</v>
      </c>
    </row>
    <row r="14" spans="2:27" ht="17.100000000000001" customHeight="1" thickBot="1" x14ac:dyDescent="0.25">
      <c r="B14" s="7">
        <v>10</v>
      </c>
      <c r="C14" s="250"/>
      <c r="D14" s="235"/>
      <c r="E14" s="235"/>
      <c r="F14" s="235"/>
      <c r="G14" s="245"/>
      <c r="H14" s="61" t="s">
        <v>13</v>
      </c>
      <c r="I14" s="21"/>
      <c r="J14" s="156"/>
      <c r="K14" s="157"/>
      <c r="L14" s="156"/>
      <c r="M14" s="268"/>
      <c r="N14" s="269"/>
      <c r="O14">
        <f>MIN(I13:L16)</f>
        <v>0</v>
      </c>
      <c r="P14" t="s">
        <v>201</v>
      </c>
      <c r="Q14" s="265" t="s">
        <v>204</v>
      </c>
      <c r="R14" s="229"/>
      <c r="S14" s="229"/>
      <c r="T14" s="229"/>
      <c r="U14" s="230"/>
      <c r="V14" s="153">
        <f>AVERAGE(I9:L12)/1000</f>
        <v>2.6356250000000001</v>
      </c>
    </row>
    <row r="15" spans="2:27" ht="17.100000000000001" customHeight="1" thickBot="1" x14ac:dyDescent="0.25">
      <c r="B15" s="7">
        <v>11</v>
      </c>
      <c r="C15" s="250"/>
      <c r="D15" s="235"/>
      <c r="E15" s="235"/>
      <c r="F15" s="235"/>
      <c r="G15" s="62" t="s">
        <v>14</v>
      </c>
      <c r="H15" s="234" t="s">
        <v>12</v>
      </c>
      <c r="I15" s="21"/>
      <c r="J15" s="156"/>
      <c r="K15" s="157"/>
      <c r="L15" s="156"/>
      <c r="M15" s="268"/>
      <c r="N15" s="269"/>
      <c r="P15" s="152"/>
      <c r="Q15" s="265" t="s">
        <v>205</v>
      </c>
      <c r="R15" s="229"/>
      <c r="S15" s="229"/>
      <c r="T15" s="229"/>
      <c r="U15" s="230"/>
      <c r="V15" s="153">
        <f>AVERAGE(I21:L24)/1000</f>
        <v>0.86712500000000003</v>
      </c>
    </row>
    <row r="16" spans="2:27" ht="17.100000000000001" customHeight="1" thickBot="1" x14ac:dyDescent="0.25">
      <c r="B16" s="7">
        <v>12</v>
      </c>
      <c r="C16" s="250"/>
      <c r="D16" s="235"/>
      <c r="E16" s="236"/>
      <c r="F16" s="236"/>
      <c r="G16" s="62" t="s">
        <v>15</v>
      </c>
      <c r="H16" s="236"/>
      <c r="I16" s="23"/>
      <c r="J16" s="158"/>
      <c r="K16" s="159"/>
      <c r="L16" s="158"/>
      <c r="M16" s="268"/>
      <c r="N16" s="269"/>
      <c r="P16" s="152"/>
      <c r="Q16" s="265" t="s">
        <v>202</v>
      </c>
      <c r="R16" s="229"/>
      <c r="S16" s="229"/>
      <c r="T16" s="229"/>
      <c r="U16" s="230"/>
      <c r="V16" s="153">
        <f>AVERAGE(I25:L28)/1000</f>
        <v>2.5909374999999999</v>
      </c>
    </row>
    <row r="17" spans="2:27" ht="17.100000000000001" customHeight="1" thickBot="1" x14ac:dyDescent="0.25">
      <c r="B17" s="7">
        <v>13</v>
      </c>
      <c r="C17" s="250"/>
      <c r="D17" s="235"/>
      <c r="E17" s="234" t="s">
        <v>16</v>
      </c>
      <c r="F17" s="234" t="s">
        <v>16</v>
      </c>
      <c r="G17" s="244" t="s">
        <v>11</v>
      </c>
      <c r="H17" s="61" t="s">
        <v>12</v>
      </c>
      <c r="I17" s="19"/>
      <c r="J17" s="154"/>
      <c r="K17" s="155"/>
      <c r="L17" s="154"/>
      <c r="M17" s="268" t="e">
        <f>(MAX(I17:L20)-MIN(I17:L20))/MIN(I17:L20)*100</f>
        <v>#DIV/0!</v>
      </c>
      <c r="N17" s="269"/>
      <c r="O17">
        <f>MAX(I17:L20)</f>
        <v>0</v>
      </c>
      <c r="P17" t="s">
        <v>200</v>
      </c>
    </row>
    <row r="18" spans="2:27" ht="17.100000000000001" customHeight="1" thickBot="1" x14ac:dyDescent="0.25">
      <c r="B18" s="7">
        <v>14</v>
      </c>
      <c r="C18" s="250"/>
      <c r="D18" s="235"/>
      <c r="E18" s="235"/>
      <c r="F18" s="235"/>
      <c r="G18" s="245"/>
      <c r="H18" s="61" t="s">
        <v>13</v>
      </c>
      <c r="I18" s="21"/>
      <c r="J18" s="156"/>
      <c r="K18" s="157"/>
      <c r="L18" s="156"/>
      <c r="M18" s="268"/>
      <c r="N18" s="269"/>
      <c r="O18">
        <f>MIN(I17:L20)</f>
        <v>0</v>
      </c>
      <c r="P18" t="s">
        <v>201</v>
      </c>
    </row>
    <row r="19" spans="2:27" ht="17.100000000000001" customHeight="1" thickBot="1" x14ac:dyDescent="0.25">
      <c r="B19" s="7">
        <v>15</v>
      </c>
      <c r="C19" s="250"/>
      <c r="D19" s="235"/>
      <c r="E19" s="235"/>
      <c r="F19" s="235"/>
      <c r="G19" s="62" t="s">
        <v>14</v>
      </c>
      <c r="H19" s="234" t="s">
        <v>12</v>
      </c>
      <c r="I19" s="21"/>
      <c r="J19" s="156"/>
      <c r="K19" s="157"/>
      <c r="L19" s="156"/>
      <c r="M19" s="268"/>
      <c r="N19" s="269"/>
      <c r="P19" s="152"/>
      <c r="Q19" s="262" t="s">
        <v>48</v>
      </c>
      <c r="R19" s="263"/>
      <c r="S19" s="263"/>
      <c r="T19" s="263"/>
      <c r="U19" s="264"/>
      <c r="V19" s="64" t="s">
        <v>49</v>
      </c>
    </row>
    <row r="20" spans="2:27" ht="17.100000000000001" customHeight="1" thickBot="1" x14ac:dyDescent="0.3">
      <c r="B20" s="7">
        <v>16</v>
      </c>
      <c r="C20" s="251"/>
      <c r="D20" s="236"/>
      <c r="E20" s="236"/>
      <c r="F20" s="236"/>
      <c r="G20" s="62" t="s">
        <v>15</v>
      </c>
      <c r="H20" s="236"/>
      <c r="I20" s="23"/>
      <c r="J20" s="158"/>
      <c r="K20" s="159"/>
      <c r="L20" s="158"/>
      <c r="M20" s="268"/>
      <c r="N20" s="269"/>
      <c r="P20" s="152"/>
      <c r="Q20" s="265" t="s">
        <v>43</v>
      </c>
      <c r="R20" s="229"/>
      <c r="S20" s="229"/>
      <c r="T20" s="229"/>
      <c r="U20" s="230"/>
      <c r="V20" s="73">
        <f>8*1.22*V13*(((V13+20))/((4*V13+20)))/Лист1!E3</f>
        <v>0.32616361882170425</v>
      </c>
    </row>
    <row r="21" spans="2:27" ht="17.100000000000001" customHeight="1" thickBot="1" x14ac:dyDescent="0.3">
      <c r="B21" s="53">
        <v>17</v>
      </c>
      <c r="C21" s="249" t="s">
        <v>21</v>
      </c>
      <c r="D21" s="242" t="s">
        <v>8</v>
      </c>
      <c r="E21" s="242" t="s">
        <v>9</v>
      </c>
      <c r="F21" s="242" t="s">
        <v>10</v>
      </c>
      <c r="G21" s="240" t="s">
        <v>11</v>
      </c>
      <c r="H21" s="55" t="s">
        <v>12</v>
      </c>
      <c r="I21" s="19">
        <v>880</v>
      </c>
      <c r="J21" s="20">
        <v>883</v>
      </c>
      <c r="K21" s="65">
        <v>875</v>
      </c>
      <c r="L21" s="20">
        <v>870</v>
      </c>
      <c r="M21" s="266">
        <f>(MAX(I21:L24)-MIN(I21:L24))/MIN(I21:L24)*100</f>
        <v>7.1084337349397595</v>
      </c>
      <c r="N21" s="267"/>
      <c r="O21">
        <f>MAX(I21:L24)</f>
        <v>889</v>
      </c>
      <c r="P21" t="s">
        <v>200</v>
      </c>
      <c r="Q21" s="265" t="s">
        <v>44</v>
      </c>
      <c r="R21" s="229"/>
      <c r="S21" s="229"/>
      <c r="T21" s="229"/>
      <c r="U21" s="230"/>
      <c r="V21" s="74">
        <f>8*1.22*V14*(((V14+20))/((4*V14+20)))/(Лист1!E3+Лист1!F3)</f>
        <v>0.17817122511606701</v>
      </c>
    </row>
    <row r="22" spans="2:27" ht="17.100000000000001" customHeight="1" thickBot="1" x14ac:dyDescent="0.25">
      <c r="B22" s="53">
        <v>18</v>
      </c>
      <c r="C22" s="250"/>
      <c r="D22" s="252"/>
      <c r="E22" s="252"/>
      <c r="F22" s="252"/>
      <c r="G22" s="241"/>
      <c r="H22" s="55" t="s">
        <v>13</v>
      </c>
      <c r="I22" s="21">
        <v>840</v>
      </c>
      <c r="J22" s="22">
        <v>843</v>
      </c>
      <c r="K22" s="66">
        <v>835</v>
      </c>
      <c r="L22" s="22">
        <v>830</v>
      </c>
      <c r="M22" s="266"/>
      <c r="N22" s="267"/>
      <c r="O22">
        <f>MIN(I21:L24)</f>
        <v>830</v>
      </c>
      <c r="P22" t="s">
        <v>201</v>
      </c>
      <c r="X22">
        <f>I21-40</f>
        <v>840</v>
      </c>
      <c r="Y22">
        <f>J21-40</f>
        <v>843</v>
      </c>
      <c r="Z22">
        <f>K21-40</f>
        <v>835</v>
      </c>
      <c r="AA22">
        <f>L21-40</f>
        <v>830</v>
      </c>
    </row>
    <row r="23" spans="2:27" ht="17.100000000000001" customHeight="1" thickBot="1" x14ac:dyDescent="0.25">
      <c r="B23" s="53">
        <v>19</v>
      </c>
      <c r="C23" s="250"/>
      <c r="D23" s="252"/>
      <c r="E23" s="252"/>
      <c r="F23" s="252"/>
      <c r="G23" s="56" t="s">
        <v>14</v>
      </c>
      <c r="H23" s="242" t="s">
        <v>12</v>
      </c>
      <c r="I23" s="21">
        <v>889</v>
      </c>
      <c r="J23" s="22">
        <v>886</v>
      </c>
      <c r="K23" s="66">
        <v>883</v>
      </c>
      <c r="L23" s="22">
        <v>878</v>
      </c>
      <c r="M23" s="266"/>
      <c r="N23" s="267"/>
      <c r="Q23" s="262" t="s">
        <v>50</v>
      </c>
      <c r="R23" s="263"/>
      <c r="S23" s="263"/>
      <c r="T23" s="263"/>
      <c r="U23" s="264"/>
      <c r="V23" s="63" t="s">
        <v>49</v>
      </c>
      <c r="X23">
        <f ca="1">ROUND(I21+RAND()*10,0)</f>
        <v>885</v>
      </c>
      <c r="Y23">
        <f ca="1">ROUND(J21+RAND()*10,0)</f>
        <v>883</v>
      </c>
      <c r="Z23">
        <f ca="1">ROUND(K21+RAND()*10,0)</f>
        <v>877</v>
      </c>
      <c r="AA23">
        <f ca="1">ROUND(L21+RAND()*10,0)</f>
        <v>874</v>
      </c>
    </row>
    <row r="24" spans="2:27" ht="17.100000000000001" customHeight="1" thickBot="1" x14ac:dyDescent="0.3">
      <c r="B24" s="53">
        <v>20</v>
      </c>
      <c r="C24" s="250"/>
      <c r="D24" s="252"/>
      <c r="E24" s="243"/>
      <c r="F24" s="243"/>
      <c r="G24" s="56" t="s">
        <v>15</v>
      </c>
      <c r="H24" s="243"/>
      <c r="I24" s="23">
        <v>877</v>
      </c>
      <c r="J24" s="24">
        <v>877</v>
      </c>
      <c r="K24" s="67">
        <v>868</v>
      </c>
      <c r="L24" s="24">
        <v>860</v>
      </c>
      <c r="M24" s="266"/>
      <c r="N24" s="267"/>
      <c r="P24" s="152"/>
      <c r="Q24" s="265" t="s">
        <v>43</v>
      </c>
      <c r="R24" s="229"/>
      <c r="S24" s="229"/>
      <c r="T24" s="229"/>
      <c r="U24" s="230"/>
      <c r="V24" s="73">
        <f>V20*Лист1!J13/Лист1!I13</f>
        <v>0.2861084375628985</v>
      </c>
      <c r="W24" s="78" t="str">
        <f>IF(V24&lt;0.22,"НЕ ПРОХОДИТ","ПРОХОДИТ")</f>
        <v>ПРОХОДИТ</v>
      </c>
      <c r="X24">
        <f ca="1">ROUND(I21-RAND()*10,0)</f>
        <v>877</v>
      </c>
      <c r="Y24">
        <f ca="1">ROUND(J21-RAND()*10,0)</f>
        <v>874</v>
      </c>
      <c r="Z24">
        <f ca="1">ROUND(K21-RAND()*10,0)</f>
        <v>871</v>
      </c>
      <c r="AA24">
        <f ca="1">ROUND(L21-RAND()*10,0)</f>
        <v>862</v>
      </c>
    </row>
    <row r="25" spans="2:27" ht="17.100000000000001" customHeight="1" thickBot="1" x14ac:dyDescent="0.3">
      <c r="B25" s="53">
        <v>21</v>
      </c>
      <c r="C25" s="250"/>
      <c r="D25" s="252"/>
      <c r="E25" s="242" t="s">
        <v>16</v>
      </c>
      <c r="F25" s="242" t="s">
        <v>10</v>
      </c>
      <c r="G25" s="240" t="s">
        <v>11</v>
      </c>
      <c r="H25" s="55" t="s">
        <v>12</v>
      </c>
      <c r="I25" s="19">
        <v>2623</v>
      </c>
      <c r="J25" s="20">
        <v>2595</v>
      </c>
      <c r="K25" s="65">
        <v>2649</v>
      </c>
      <c r="L25" s="20">
        <v>2653</v>
      </c>
      <c r="M25" s="266">
        <f>(MAX(I25:L28)-MIN(I25:L28))/MIN(I25:L28)*100</f>
        <v>6.2623860483551326</v>
      </c>
      <c r="N25" s="267"/>
      <c r="O25">
        <f>MAX(I25:L28)</f>
        <v>2681</v>
      </c>
      <c r="Q25" s="265" t="s">
        <v>44</v>
      </c>
      <c r="R25" s="229"/>
      <c r="S25" s="229"/>
      <c r="T25" s="229"/>
      <c r="U25" s="230"/>
      <c r="V25" s="73">
        <f>V21*Лист1!J14/Лист1!I14</f>
        <v>0.16446574626098492</v>
      </c>
      <c r="W25" s="78" t="str">
        <f>IF(V25&lt;0.14,"НЕ ПРОХОДИТ","ПРОХОДИТ")</f>
        <v>ПРОХОДИТ</v>
      </c>
    </row>
    <row r="26" spans="2:27" ht="17.100000000000001" customHeight="1" thickBot="1" x14ac:dyDescent="0.25">
      <c r="B26" s="53">
        <v>22</v>
      </c>
      <c r="C26" s="250"/>
      <c r="D26" s="252"/>
      <c r="E26" s="252"/>
      <c r="F26" s="252"/>
      <c r="G26" s="241"/>
      <c r="H26" s="55" t="s">
        <v>13</v>
      </c>
      <c r="I26" s="21">
        <v>2533</v>
      </c>
      <c r="J26" s="22">
        <v>2532</v>
      </c>
      <c r="K26" s="66">
        <v>2523</v>
      </c>
      <c r="L26" s="22">
        <v>2569</v>
      </c>
      <c r="M26" s="266"/>
      <c r="N26" s="267"/>
      <c r="O26">
        <f>MIN(I25:L28)</f>
        <v>2523</v>
      </c>
    </row>
    <row r="27" spans="2:27" ht="17.100000000000001" customHeight="1" thickBot="1" x14ac:dyDescent="0.25">
      <c r="B27" s="53">
        <v>23</v>
      </c>
      <c r="C27" s="250"/>
      <c r="D27" s="252"/>
      <c r="E27" s="252"/>
      <c r="F27" s="252"/>
      <c r="G27" s="56" t="s">
        <v>14</v>
      </c>
      <c r="H27" s="242" t="s">
        <v>12</v>
      </c>
      <c r="I27" s="21">
        <v>2528</v>
      </c>
      <c r="J27" s="22">
        <v>2594</v>
      </c>
      <c r="K27" s="66">
        <v>2619</v>
      </c>
      <c r="L27" s="22">
        <v>2635</v>
      </c>
      <c r="M27" s="266"/>
      <c r="N27" s="267"/>
      <c r="Q27" s="262" t="s">
        <v>48</v>
      </c>
      <c r="R27" s="263"/>
      <c r="S27" s="263"/>
      <c r="T27" s="263"/>
      <c r="U27" s="264"/>
      <c r="V27" s="64" t="s">
        <v>51</v>
      </c>
    </row>
    <row r="28" spans="2:27" ht="17.100000000000001" customHeight="1" thickBot="1" x14ac:dyDescent="0.3">
      <c r="B28" s="53">
        <v>24</v>
      </c>
      <c r="C28" s="250"/>
      <c r="D28" s="243"/>
      <c r="E28" s="243"/>
      <c r="F28" s="243"/>
      <c r="G28" s="56" t="s">
        <v>15</v>
      </c>
      <c r="H28" s="243"/>
      <c r="I28" s="25">
        <v>2555</v>
      </c>
      <c r="J28" s="24">
        <v>2529</v>
      </c>
      <c r="K28" s="67">
        <v>2637</v>
      </c>
      <c r="L28" s="24">
        <v>2681</v>
      </c>
      <c r="M28" s="266"/>
      <c r="N28" s="267"/>
      <c r="Q28" s="265" t="s">
        <v>43</v>
      </c>
      <c r="R28" s="229"/>
      <c r="S28" s="229"/>
      <c r="T28" s="229"/>
      <c r="U28" s="230"/>
      <c r="V28" s="73">
        <f>8*1.22*V15*(((V15+20))/((4*V15+20)))/Лист1!E3</f>
        <v>0.32717565038150126</v>
      </c>
    </row>
    <row r="29" spans="2:27" ht="17.100000000000001" customHeight="1" thickBot="1" x14ac:dyDescent="0.3">
      <c r="B29" s="7">
        <v>25</v>
      </c>
      <c r="C29" s="250"/>
      <c r="D29" s="234" t="s">
        <v>17</v>
      </c>
      <c r="E29" s="234" t="s">
        <v>9</v>
      </c>
      <c r="F29" s="234" t="s">
        <v>16</v>
      </c>
      <c r="G29" s="244" t="s">
        <v>11</v>
      </c>
      <c r="H29" s="61" t="s">
        <v>12</v>
      </c>
      <c r="I29" s="19"/>
      <c r="J29" s="20"/>
      <c r="K29" s="65"/>
      <c r="L29" s="20"/>
      <c r="M29" s="268" t="e">
        <f>(MAX(I29:L32)-MIN(I29:L32))/MIN(I29:L32)*100</f>
        <v>#DIV/0!</v>
      </c>
      <c r="N29" s="269"/>
      <c r="O29">
        <f>MAX(I29:L32)</f>
        <v>0</v>
      </c>
      <c r="P29" t="s">
        <v>200</v>
      </c>
      <c r="Q29" s="265" t="s">
        <v>44</v>
      </c>
      <c r="R29" s="229"/>
      <c r="S29" s="229"/>
      <c r="T29" s="229"/>
      <c r="U29" s="230"/>
      <c r="V29" s="74">
        <f>8*1.22*V16*(((V16+20))/((4*V16+20)))/(Лист1!E3+Лист1!F3)</f>
        <v>0.17583358217073589</v>
      </c>
    </row>
    <row r="30" spans="2:27" ht="17.100000000000001" customHeight="1" thickBot="1" x14ac:dyDescent="0.25">
      <c r="B30" s="7">
        <v>26</v>
      </c>
      <c r="C30" s="250"/>
      <c r="D30" s="235"/>
      <c r="E30" s="235"/>
      <c r="F30" s="235"/>
      <c r="G30" s="245"/>
      <c r="H30" s="61" t="s">
        <v>13</v>
      </c>
      <c r="I30" s="21"/>
      <c r="J30" s="22"/>
      <c r="K30" s="66"/>
      <c r="L30" s="22"/>
      <c r="M30" s="268"/>
      <c r="N30" s="269"/>
      <c r="O30">
        <f>MIN(I29:L32)</f>
        <v>0</v>
      </c>
      <c r="P30" t="s">
        <v>201</v>
      </c>
    </row>
    <row r="31" spans="2:27" ht="17.100000000000001" customHeight="1" thickBot="1" x14ac:dyDescent="0.25">
      <c r="B31" s="7">
        <v>27</v>
      </c>
      <c r="C31" s="250"/>
      <c r="D31" s="235"/>
      <c r="E31" s="235"/>
      <c r="F31" s="235"/>
      <c r="G31" s="62" t="s">
        <v>14</v>
      </c>
      <c r="H31" s="234" t="s">
        <v>12</v>
      </c>
      <c r="I31" s="21"/>
      <c r="J31" s="22"/>
      <c r="K31" s="66"/>
      <c r="L31" s="22"/>
      <c r="M31" s="268"/>
      <c r="N31" s="269"/>
      <c r="P31" s="149"/>
      <c r="Q31" s="262" t="s">
        <v>50</v>
      </c>
      <c r="R31" s="263"/>
      <c r="S31" s="263"/>
      <c r="T31" s="263"/>
      <c r="U31" s="264"/>
      <c r="V31" s="63" t="s">
        <v>51</v>
      </c>
    </row>
    <row r="32" spans="2:27" ht="17.100000000000001" customHeight="1" thickBot="1" x14ac:dyDescent="0.3">
      <c r="B32" s="7">
        <v>28</v>
      </c>
      <c r="C32" s="250"/>
      <c r="D32" s="235"/>
      <c r="E32" s="236"/>
      <c r="F32" s="236"/>
      <c r="G32" s="62" t="s">
        <v>15</v>
      </c>
      <c r="H32" s="236"/>
      <c r="I32" s="23"/>
      <c r="J32" s="24"/>
      <c r="K32" s="67"/>
      <c r="L32" s="24"/>
      <c r="M32" s="268"/>
      <c r="N32" s="269"/>
      <c r="P32" s="149"/>
      <c r="Q32" s="265" t="s">
        <v>43</v>
      </c>
      <c r="R32" s="229"/>
      <c r="S32" s="229"/>
      <c r="T32" s="229"/>
      <c r="U32" s="230"/>
      <c r="V32" s="73">
        <f>V28*Лист1!J13/Лист1!I13</f>
        <v>0.28699618454517656</v>
      </c>
      <c r="W32" s="78" t="str">
        <f>IF(V32&lt;0.22,"НЕ ПРОХОДИТ","ПРОХОДИТ")</f>
        <v>ПРОХОДИТ</v>
      </c>
    </row>
    <row r="33" spans="2:28" ht="17.100000000000001" customHeight="1" thickBot="1" x14ac:dyDescent="0.3">
      <c r="B33" s="7">
        <v>29</v>
      </c>
      <c r="C33" s="250"/>
      <c r="D33" s="235"/>
      <c r="E33" s="234" t="s">
        <v>16</v>
      </c>
      <c r="F33" s="234" t="s">
        <v>16</v>
      </c>
      <c r="G33" s="244" t="s">
        <v>11</v>
      </c>
      <c r="H33" s="61" t="s">
        <v>12</v>
      </c>
      <c r="I33" s="19"/>
      <c r="J33" s="20"/>
      <c r="K33" s="65"/>
      <c r="L33" s="20"/>
      <c r="M33" s="268" t="e">
        <f>(MAX(I33:L36)-MIN(I33:L36))/MIN(I33:L36)*100</f>
        <v>#DIV/0!</v>
      </c>
      <c r="N33" s="269"/>
      <c r="O33">
        <f>MAX(I33:L36)</f>
        <v>0</v>
      </c>
      <c r="P33" t="s">
        <v>200</v>
      </c>
      <c r="Q33" s="265" t="s">
        <v>44</v>
      </c>
      <c r="R33" s="229"/>
      <c r="S33" s="229"/>
      <c r="T33" s="229"/>
      <c r="U33" s="230"/>
      <c r="V33" s="73">
        <f>V29*Лист1!J14/Лист1!I14</f>
        <v>0.16230792200375621</v>
      </c>
      <c r="W33" s="78" t="str">
        <f>IF(V33&lt;0.14,"НЕ ПРОХОДИТ","ПРОХОДИТ")</f>
        <v>ПРОХОДИТ</v>
      </c>
    </row>
    <row r="34" spans="2:28" ht="17.100000000000001" customHeight="1" thickBot="1" x14ac:dyDescent="0.25">
      <c r="B34" s="7">
        <v>30</v>
      </c>
      <c r="C34" s="250"/>
      <c r="D34" s="235"/>
      <c r="E34" s="235"/>
      <c r="F34" s="235"/>
      <c r="G34" s="245"/>
      <c r="H34" s="61" t="s">
        <v>13</v>
      </c>
      <c r="I34" s="21"/>
      <c r="J34" s="22"/>
      <c r="K34" s="66"/>
      <c r="L34" s="22"/>
      <c r="M34" s="268"/>
      <c r="N34" s="269"/>
      <c r="O34">
        <f>MIN(I33:L36)</f>
        <v>0</v>
      </c>
      <c r="P34" t="s">
        <v>201</v>
      </c>
    </row>
    <row r="35" spans="2:28" ht="17.100000000000001" customHeight="1" thickBot="1" x14ac:dyDescent="0.25">
      <c r="B35" s="7">
        <v>31</v>
      </c>
      <c r="C35" s="250"/>
      <c r="D35" s="235"/>
      <c r="E35" s="235"/>
      <c r="F35" s="235"/>
      <c r="G35" s="62" t="s">
        <v>14</v>
      </c>
      <c r="H35" s="234" t="s">
        <v>12</v>
      </c>
      <c r="I35" s="21"/>
      <c r="J35" s="22"/>
      <c r="K35" s="66"/>
      <c r="L35" s="22"/>
      <c r="M35" s="268"/>
      <c r="N35" s="269"/>
      <c r="P35" s="27"/>
    </row>
    <row r="36" spans="2:28" ht="17.100000000000001" customHeight="1" thickBot="1" x14ac:dyDescent="0.25">
      <c r="B36" s="7">
        <v>32</v>
      </c>
      <c r="C36" s="251"/>
      <c r="D36" s="236"/>
      <c r="E36" s="236"/>
      <c r="F36" s="236"/>
      <c r="G36" s="62" t="s">
        <v>15</v>
      </c>
      <c r="H36" s="236"/>
      <c r="I36" s="23"/>
      <c r="J36" s="24"/>
      <c r="K36" s="67"/>
      <c r="L36" s="24"/>
      <c r="M36" s="268"/>
      <c r="N36" s="269"/>
    </row>
    <row r="37" spans="2:28" x14ac:dyDescent="0.2">
      <c r="B37" s="246" t="s">
        <v>39</v>
      </c>
      <c r="C37" s="247"/>
      <c r="D37" s="247"/>
      <c r="E37" s="247"/>
      <c r="F37" s="247"/>
      <c r="G37" s="247"/>
      <c r="H37" s="247"/>
      <c r="I37" s="247"/>
      <c r="J37" s="247"/>
      <c r="K37" s="247"/>
      <c r="L37" s="248"/>
    </row>
    <row r="38" spans="2:28" ht="38.25" customHeight="1" thickBot="1" x14ac:dyDescent="0.25">
      <c r="B38" s="237" t="s">
        <v>19</v>
      </c>
      <c r="C38" s="238"/>
      <c r="D38" s="238"/>
      <c r="E38" s="238"/>
      <c r="F38" s="238"/>
      <c r="G38" s="238"/>
      <c r="H38" s="238"/>
      <c r="I38" s="238"/>
      <c r="J38" s="238"/>
      <c r="K38" s="238"/>
      <c r="L38" s="239"/>
    </row>
    <row r="41" spans="2:28" x14ac:dyDescent="0.2">
      <c r="N41" s="26"/>
      <c r="O41" s="18"/>
    </row>
    <row r="42" spans="2:28" ht="15.75" thickBot="1" x14ac:dyDescent="0.25">
      <c r="I42" s="14" t="s">
        <v>65</v>
      </c>
      <c r="J42" s="13"/>
    </row>
    <row r="43" spans="2:28" ht="13.5" thickBot="1" x14ac:dyDescent="0.25">
      <c r="B43" s="253" t="s">
        <v>1</v>
      </c>
      <c r="C43" s="253" t="s">
        <v>2</v>
      </c>
      <c r="D43" s="253" t="s">
        <v>3</v>
      </c>
      <c r="E43" s="249" t="s">
        <v>22</v>
      </c>
      <c r="F43" s="249" t="s">
        <v>4</v>
      </c>
      <c r="G43" s="249" t="s">
        <v>0</v>
      </c>
      <c r="H43" s="249" t="s">
        <v>5</v>
      </c>
      <c r="I43" s="272" t="s">
        <v>6</v>
      </c>
      <c r="J43" s="273"/>
      <c r="K43" s="273"/>
      <c r="L43" s="274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</row>
    <row r="44" spans="2:28" ht="13.5" thickBot="1" x14ac:dyDescent="0.25">
      <c r="B44" s="254"/>
      <c r="C44" s="254"/>
      <c r="D44" s="254"/>
      <c r="E44" s="250"/>
      <c r="F44" s="250"/>
      <c r="G44" s="250"/>
      <c r="H44" s="250"/>
      <c r="I44" s="272" t="s">
        <v>7</v>
      </c>
      <c r="J44" s="273"/>
      <c r="K44" s="273"/>
      <c r="L44" s="274"/>
      <c r="Q44" s="16"/>
      <c r="R44" s="16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2:28" ht="22.5" customHeight="1" thickBot="1" x14ac:dyDescent="0.25">
      <c r="B45" s="255"/>
      <c r="C45" s="255"/>
      <c r="D45" s="255"/>
      <c r="E45" s="251"/>
      <c r="F45" s="251"/>
      <c r="G45" s="251"/>
      <c r="H45" s="251"/>
      <c r="I45" s="1" t="s">
        <v>35</v>
      </c>
      <c r="J45" s="1" t="s">
        <v>36</v>
      </c>
      <c r="K45" s="1" t="s">
        <v>37</v>
      </c>
      <c r="L45" s="1" t="s">
        <v>38</v>
      </c>
      <c r="M45" s="2" t="s">
        <v>25</v>
      </c>
      <c r="P45" s="8"/>
      <c r="Q45" s="16"/>
      <c r="R45" s="17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2:28" ht="16.5" thickBot="1" x14ac:dyDescent="0.3">
      <c r="B46" s="53">
        <v>1</v>
      </c>
      <c r="C46" s="249" t="s">
        <v>23</v>
      </c>
      <c r="D46" s="242" t="s">
        <v>8</v>
      </c>
      <c r="E46" s="242" t="s">
        <v>9</v>
      </c>
      <c r="F46" s="242" t="s">
        <v>10</v>
      </c>
      <c r="G46" s="240" t="s">
        <v>11</v>
      </c>
      <c r="H46" s="55" t="s">
        <v>12</v>
      </c>
      <c r="I46" s="19">
        <v>2450</v>
      </c>
      <c r="J46" s="20">
        <v>2480</v>
      </c>
      <c r="K46" s="19"/>
      <c r="L46" s="20"/>
      <c r="M46" s="57">
        <f>IF(AND(I46=0,J46=0,K46=0,L46=0),"",SUM(I46:L46))</f>
        <v>4930</v>
      </c>
      <c r="N46" s="57">
        <f>IF(AND(M46="",M47="",M48="",M49=""),"",MAX(M46:M49))</f>
        <v>4945</v>
      </c>
      <c r="O46" s="58" t="s">
        <v>26</v>
      </c>
      <c r="P46" s="8"/>
      <c r="R46" s="10"/>
      <c r="S46" s="11"/>
      <c r="T46" s="8"/>
      <c r="W46">
        <f>I46+30</f>
        <v>2480</v>
      </c>
      <c r="X46">
        <f>J46+30</f>
        <v>2510</v>
      </c>
      <c r="Y46">
        <f t="shared" ref="Y46:Z46" si="0">K46-30</f>
        <v>-30</v>
      </c>
      <c r="Z46">
        <f t="shared" si="0"/>
        <v>-30</v>
      </c>
    </row>
    <row r="47" spans="2:28" ht="13.5" thickBot="1" x14ac:dyDescent="0.25">
      <c r="B47" s="53">
        <v>2</v>
      </c>
      <c r="C47" s="250"/>
      <c r="D47" s="252"/>
      <c r="E47" s="252"/>
      <c r="F47" s="252"/>
      <c r="G47" s="241"/>
      <c r="H47" s="55" t="s">
        <v>13</v>
      </c>
      <c r="I47" s="22">
        <v>2400</v>
      </c>
      <c r="J47" s="22">
        <v>2430</v>
      </c>
      <c r="K47" s="21"/>
      <c r="L47" s="22"/>
      <c r="M47" s="57">
        <f>IF(AND(I47=0,J47=0,K47=0,L47=0),"",SUM(I47:L47))</f>
        <v>4830</v>
      </c>
      <c r="N47" s="58">
        <f>IF(AND(M46="",M47="",M48="",M49=""),"",MIN(M46:M49))</f>
        <v>4830</v>
      </c>
      <c r="O47" s="58" t="s">
        <v>29</v>
      </c>
      <c r="P47" s="8"/>
      <c r="W47">
        <f t="shared" ref="W47:W49" si="1">I47+30</f>
        <v>2430</v>
      </c>
      <c r="X47">
        <f t="shared" ref="X47:X49" si="2">J47+30</f>
        <v>2460</v>
      </c>
    </row>
    <row r="48" spans="2:28" ht="17.25" thickBot="1" x14ac:dyDescent="0.25">
      <c r="B48" s="53">
        <v>3</v>
      </c>
      <c r="C48" s="250"/>
      <c r="D48" s="252"/>
      <c r="E48" s="252"/>
      <c r="F48" s="252"/>
      <c r="G48" s="56" t="s">
        <v>14</v>
      </c>
      <c r="H48" s="242" t="s">
        <v>12</v>
      </c>
      <c r="I48" s="21">
        <v>2455</v>
      </c>
      <c r="J48" s="22">
        <v>2490</v>
      </c>
      <c r="K48" s="21"/>
      <c r="L48" s="22"/>
      <c r="M48" s="57">
        <f>IF(AND(I48=0,J48=0,K48=0,L48=0),"",SUM(I48:L48))</f>
        <v>4945</v>
      </c>
      <c r="P48" s="8"/>
      <c r="W48">
        <f t="shared" si="1"/>
        <v>2485</v>
      </c>
      <c r="X48">
        <f t="shared" si="2"/>
        <v>2520</v>
      </c>
    </row>
    <row r="49" spans="2:25" ht="17.25" customHeight="1" thickBot="1" x14ac:dyDescent="0.25">
      <c r="B49" s="53">
        <v>4</v>
      </c>
      <c r="C49" s="250"/>
      <c r="D49" s="243"/>
      <c r="E49" s="243"/>
      <c r="F49" s="243"/>
      <c r="G49" s="56" t="s">
        <v>15</v>
      </c>
      <c r="H49" s="243"/>
      <c r="I49" s="23">
        <v>2445</v>
      </c>
      <c r="J49" s="24">
        <v>2480</v>
      </c>
      <c r="K49" s="23"/>
      <c r="L49" s="24"/>
      <c r="M49" s="57">
        <f>IF(AND(I49=0,J49=0,K49=0,L49=0),"",SUM(I49:L49))</f>
        <v>4925</v>
      </c>
      <c r="P49" s="8"/>
      <c r="U49" t="s">
        <v>209</v>
      </c>
      <c r="V49" t="s">
        <v>210</v>
      </c>
      <c r="W49">
        <f t="shared" si="1"/>
        <v>2475</v>
      </c>
      <c r="X49">
        <f t="shared" si="2"/>
        <v>2510</v>
      </c>
    </row>
    <row r="50" spans="2:25" ht="13.5" thickBot="1" x14ac:dyDescent="0.25">
      <c r="B50" s="7">
        <v>5</v>
      </c>
      <c r="C50" s="250"/>
      <c r="D50" s="234" t="s">
        <v>17</v>
      </c>
      <c r="E50" s="234" t="s">
        <v>9</v>
      </c>
      <c r="F50" s="234" t="s">
        <v>16</v>
      </c>
      <c r="G50" s="244" t="s">
        <v>11</v>
      </c>
      <c r="H50" s="61" t="s">
        <v>12</v>
      </c>
      <c r="I50" s="19"/>
      <c r="J50" s="20"/>
      <c r="K50" s="162"/>
      <c r="L50" s="163"/>
      <c r="M50" s="59" t="str">
        <f>IF(AND(I50=0,J50=0,K50=0,L50=0),"",SUM(I50:L50))</f>
        <v/>
      </c>
      <c r="N50" s="59" t="str">
        <f>IF(AND(M50="",M51="",M52="",M53=""),"",MAX(M50:M53))</f>
        <v/>
      </c>
      <c r="O50" s="60" t="s">
        <v>26</v>
      </c>
      <c r="P50" s="8"/>
      <c r="Q50" s="270" t="s">
        <v>47</v>
      </c>
      <c r="R50" s="270"/>
      <c r="S50" s="270"/>
      <c r="T50" s="271"/>
      <c r="U50" s="271"/>
    </row>
    <row r="51" spans="2:25" ht="19.5" thickBot="1" x14ac:dyDescent="0.25">
      <c r="B51" s="7">
        <v>6</v>
      </c>
      <c r="C51" s="250"/>
      <c r="D51" s="235"/>
      <c r="E51" s="235"/>
      <c r="F51" s="235"/>
      <c r="G51" s="245"/>
      <c r="H51" s="61" t="s">
        <v>13</v>
      </c>
      <c r="I51" s="21"/>
      <c r="J51" s="22"/>
      <c r="K51" s="164"/>
      <c r="L51" s="165"/>
      <c r="M51" s="59" t="str">
        <f t="shared" ref="M51:M57" si="3">IF(AND(I51=0,J51=0,K51=0,L51=0),"",SUM(I51:L51))</f>
        <v/>
      </c>
      <c r="N51" s="60" t="str">
        <f>IF(AND(M50="",M51="",M52="",M53=""),"",MIN(M50:M53))</f>
        <v/>
      </c>
      <c r="O51" s="60" t="s">
        <v>29</v>
      </c>
      <c r="P51" s="8"/>
      <c r="Q51" s="225" t="s">
        <v>27</v>
      </c>
      <c r="R51" s="226"/>
      <c r="S51" s="226"/>
      <c r="T51" s="227"/>
      <c r="U51" s="4" t="s">
        <v>28</v>
      </c>
    </row>
    <row r="52" spans="2:25" ht="17.25" customHeight="1" thickBot="1" x14ac:dyDescent="0.3">
      <c r="B52" s="7">
        <v>7</v>
      </c>
      <c r="C52" s="250"/>
      <c r="D52" s="235"/>
      <c r="E52" s="235"/>
      <c r="F52" s="235"/>
      <c r="G52" s="62" t="s">
        <v>14</v>
      </c>
      <c r="H52" s="234" t="s">
        <v>12</v>
      </c>
      <c r="I52" s="21"/>
      <c r="J52" s="22"/>
      <c r="K52" s="164"/>
      <c r="L52" s="165"/>
      <c r="M52" s="59" t="str">
        <f t="shared" si="3"/>
        <v/>
      </c>
      <c r="Q52" s="228" t="s">
        <v>30</v>
      </c>
      <c r="R52" s="229"/>
      <c r="S52" s="229"/>
      <c r="T52" s="230"/>
      <c r="U52" s="44">
        <f>(MAX(K64:N64)-MIN(K65:N65))/MAX(K64:N64)*100</f>
        <v>4.8192771084337354</v>
      </c>
      <c r="V52" s="44">
        <f>MAX(IF(AND(K64&lt;&gt;"",K65&lt;&gt;""),(K64-K65)/K64,0),IF(AND(L64&lt;&gt;"",L65&lt;&gt;""),(L64-L65)/L64,0),IF(AND(M64&lt;&gt;"",M65&lt;&gt;""),(M64-M65)/M64,0),IF(AND(N64&lt;&gt;"",N65&lt;&gt;""),(N64-N65)/N64,0))*100</f>
        <v>4.2168674698795181</v>
      </c>
    </row>
    <row r="53" spans="2:25" ht="17.25" thickBot="1" x14ac:dyDescent="0.3">
      <c r="B53" s="7">
        <v>8</v>
      </c>
      <c r="C53" s="251"/>
      <c r="D53" s="236"/>
      <c r="E53" s="236"/>
      <c r="F53" s="236"/>
      <c r="G53" s="62" t="s">
        <v>15</v>
      </c>
      <c r="H53" s="236"/>
      <c r="I53" s="23"/>
      <c r="J53" s="24"/>
      <c r="K53" s="166"/>
      <c r="L53" s="167"/>
      <c r="M53" s="59" t="str">
        <f t="shared" si="3"/>
        <v/>
      </c>
      <c r="P53" s="8"/>
      <c r="Q53" s="231" t="s">
        <v>31</v>
      </c>
      <c r="R53" s="232"/>
      <c r="S53" s="232"/>
      <c r="T53" s="233"/>
      <c r="U53" s="44" t="str">
        <f>IF(OR(N67="",N68=""),"",(N67-N68)/N68*100)</f>
        <v/>
      </c>
      <c r="V53" s="8"/>
      <c r="W53" s="8"/>
    </row>
    <row r="54" spans="2:25" ht="18" customHeight="1" thickBot="1" x14ac:dyDescent="0.25">
      <c r="B54" s="53">
        <v>9</v>
      </c>
      <c r="C54" s="249" t="s">
        <v>24</v>
      </c>
      <c r="D54" s="242" t="s">
        <v>8</v>
      </c>
      <c r="E54" s="242" t="s">
        <v>9</v>
      </c>
      <c r="F54" s="242" t="s">
        <v>10</v>
      </c>
      <c r="G54" s="240" t="s">
        <v>11</v>
      </c>
      <c r="H54" s="55" t="s">
        <v>12</v>
      </c>
      <c r="I54" s="19">
        <v>2420</v>
      </c>
      <c r="J54" s="20">
        <v>2445</v>
      </c>
      <c r="K54" s="161"/>
      <c r="L54" s="168"/>
      <c r="M54" s="57">
        <f t="shared" si="3"/>
        <v>4865</v>
      </c>
      <c r="N54" s="57">
        <f>IF(AND(M54="",M55="",M56="",M57=""),"",MAX(M54:M57))</f>
        <v>4880</v>
      </c>
      <c r="O54" s="58" t="s">
        <v>26</v>
      </c>
      <c r="P54" s="8"/>
      <c r="Q54" s="284"/>
      <c r="R54" s="284"/>
      <c r="S54" s="284"/>
      <c r="T54" s="150"/>
      <c r="U54" s="150"/>
      <c r="V54" s="151"/>
      <c r="W54">
        <f t="shared" ref="W54:W57" si="4">I54+30</f>
        <v>2450</v>
      </c>
      <c r="X54">
        <f t="shared" ref="X54:X57" si="5">J54+30</f>
        <v>2475</v>
      </c>
    </row>
    <row r="55" spans="2:25" ht="16.5" customHeight="1" thickBot="1" x14ac:dyDescent="0.25">
      <c r="B55" s="53">
        <v>10</v>
      </c>
      <c r="C55" s="250"/>
      <c r="D55" s="252"/>
      <c r="E55" s="252"/>
      <c r="F55" s="252"/>
      <c r="G55" s="241"/>
      <c r="H55" s="55" t="s">
        <v>13</v>
      </c>
      <c r="I55" s="21">
        <v>2370</v>
      </c>
      <c r="J55" s="22">
        <v>2385</v>
      </c>
      <c r="K55" s="169"/>
      <c r="L55" s="170"/>
      <c r="M55" s="57">
        <f t="shared" si="3"/>
        <v>4755</v>
      </c>
      <c r="N55" s="58">
        <f>IF(AND(M54="",M55="",M56="",M57=""),"",MIN(M54:M57))</f>
        <v>4755</v>
      </c>
      <c r="O55" s="58" t="s">
        <v>29</v>
      </c>
      <c r="P55" s="8"/>
      <c r="Q55" s="282"/>
      <c r="R55" s="283"/>
      <c r="S55" s="283"/>
      <c r="T55" s="9"/>
      <c r="U55" s="12"/>
      <c r="W55">
        <f t="shared" si="4"/>
        <v>2400</v>
      </c>
      <c r="X55">
        <f t="shared" si="5"/>
        <v>2415</v>
      </c>
    </row>
    <row r="56" spans="2:25" ht="17.25" customHeight="1" thickBot="1" x14ac:dyDescent="0.25">
      <c r="B56" s="53">
        <v>11</v>
      </c>
      <c r="C56" s="250"/>
      <c r="D56" s="252"/>
      <c r="E56" s="252"/>
      <c r="F56" s="252"/>
      <c r="G56" s="56" t="s">
        <v>14</v>
      </c>
      <c r="H56" s="242" t="s">
        <v>12</v>
      </c>
      <c r="I56" s="21">
        <v>2430</v>
      </c>
      <c r="J56" s="22">
        <v>2450</v>
      </c>
      <c r="K56" s="169"/>
      <c r="L56" s="170"/>
      <c r="M56" s="57">
        <f t="shared" si="3"/>
        <v>4880</v>
      </c>
      <c r="P56" s="8"/>
      <c r="Q56" s="282"/>
      <c r="R56" s="283"/>
      <c r="S56" s="283"/>
      <c r="T56" s="9"/>
      <c r="U56" s="9"/>
      <c r="W56">
        <f t="shared" si="4"/>
        <v>2460</v>
      </c>
      <c r="X56">
        <f t="shared" si="5"/>
        <v>2480</v>
      </c>
    </row>
    <row r="57" spans="2:25" ht="18" customHeight="1" thickBot="1" x14ac:dyDescent="0.25">
      <c r="B57" s="53">
        <v>12</v>
      </c>
      <c r="C57" s="250"/>
      <c r="D57" s="243"/>
      <c r="E57" s="243"/>
      <c r="F57" s="243"/>
      <c r="G57" s="56" t="s">
        <v>15</v>
      </c>
      <c r="H57" s="243"/>
      <c r="I57" s="23">
        <v>2410</v>
      </c>
      <c r="J57" s="24">
        <v>2440</v>
      </c>
      <c r="K57" s="171"/>
      <c r="L57" s="172"/>
      <c r="M57" s="57">
        <f t="shared" si="3"/>
        <v>4850</v>
      </c>
      <c r="P57" s="8"/>
      <c r="Q57" s="298" t="s">
        <v>32</v>
      </c>
      <c r="R57" s="299"/>
      <c r="S57" s="299"/>
      <c r="T57" s="299"/>
      <c r="U57" s="299"/>
      <c r="V57" s="300"/>
      <c r="W57">
        <f t="shared" si="4"/>
        <v>2440</v>
      </c>
      <c r="X57">
        <f t="shared" si="5"/>
        <v>2470</v>
      </c>
    </row>
    <row r="58" spans="2:25" ht="18" customHeight="1" thickBot="1" x14ac:dyDescent="0.25">
      <c r="B58" s="7">
        <v>13</v>
      </c>
      <c r="C58" s="250"/>
      <c r="D58" s="234" t="s">
        <v>17</v>
      </c>
      <c r="E58" s="234" t="s">
        <v>9</v>
      </c>
      <c r="F58" s="234" t="s">
        <v>16</v>
      </c>
      <c r="G58" s="244" t="s">
        <v>11</v>
      </c>
      <c r="H58" s="61" t="s">
        <v>12</v>
      </c>
      <c r="I58" s="80"/>
      <c r="J58" s="81"/>
      <c r="K58" s="173"/>
      <c r="L58" s="174"/>
      <c r="M58" s="59" t="str">
        <f>IF(AND(I58=0,J58=0,K58=0,L58=0),"",SUM(I58:L58))</f>
        <v/>
      </c>
      <c r="N58" s="59" t="str">
        <f>IF(AND(M58="",M59="",M60="",M61=""),"",MAX(M58:M61))</f>
        <v/>
      </c>
      <c r="O58" s="60" t="s">
        <v>26</v>
      </c>
      <c r="P58" s="8"/>
      <c r="Q58" s="294" t="s">
        <v>101</v>
      </c>
      <c r="R58" s="294"/>
      <c r="S58" s="294"/>
      <c r="T58" s="79" t="s">
        <v>99</v>
      </c>
      <c r="U58" s="295" t="s">
        <v>100</v>
      </c>
      <c r="V58" s="295"/>
    </row>
    <row r="59" spans="2:25" ht="17.25" customHeight="1" thickBot="1" x14ac:dyDescent="0.25">
      <c r="B59" s="7">
        <v>14</v>
      </c>
      <c r="C59" s="250"/>
      <c r="D59" s="235"/>
      <c r="E59" s="235"/>
      <c r="F59" s="235"/>
      <c r="G59" s="245"/>
      <c r="H59" s="61" t="s">
        <v>13</v>
      </c>
      <c r="I59" s="68"/>
      <c r="J59" s="69"/>
      <c r="K59" s="169"/>
      <c r="L59" s="170"/>
      <c r="M59" s="59" t="str">
        <f>IF(AND(I59=0,J59=0,K59=0,L59=0),"",SUM(I59:L59))</f>
        <v/>
      </c>
      <c r="N59" s="60" t="str">
        <f>IF(AND(M58="",M59="",M60="",M61=""),"",MIN(M58:M61))</f>
        <v/>
      </c>
      <c r="O59" s="60" t="s">
        <v>29</v>
      </c>
      <c r="P59" s="8"/>
      <c r="Q59" s="301" t="s">
        <v>40</v>
      </c>
      <c r="R59" s="301"/>
      <c r="S59" s="301"/>
      <c r="T59" s="47" t="e">
        <f>AVERAGE(I50:L53,I58:L61)/1000</f>
        <v>#DIV/0!</v>
      </c>
      <c r="U59" s="296">
        <f>AVERAGE(I46:L49,I54:L57)/1000</f>
        <v>2.4362499999999998</v>
      </c>
      <c r="V59" s="297"/>
      <c r="W59" s="8"/>
      <c r="X59" s="8"/>
      <c r="Y59" s="8"/>
    </row>
    <row r="60" spans="2:25" ht="16.5" customHeight="1" thickBot="1" x14ac:dyDescent="0.25">
      <c r="B60" s="7">
        <v>15</v>
      </c>
      <c r="C60" s="250"/>
      <c r="D60" s="235"/>
      <c r="E60" s="235"/>
      <c r="F60" s="235"/>
      <c r="G60" s="62" t="s">
        <v>14</v>
      </c>
      <c r="H60" s="234" t="s">
        <v>12</v>
      </c>
      <c r="I60" s="68"/>
      <c r="J60" s="69"/>
      <c r="K60" s="169"/>
      <c r="L60" s="170"/>
      <c r="M60" s="59" t="str">
        <f>IF(AND(I60=0,J60=0,K60=0,L60=0),"",SUM(I60:L60))</f>
        <v/>
      </c>
      <c r="P60" s="8"/>
      <c r="Q60" s="301"/>
      <c r="R60" s="301"/>
      <c r="S60" s="301"/>
      <c r="T60" s="42"/>
      <c r="U60" s="46"/>
      <c r="V60" s="38"/>
      <c r="W60" s="8"/>
      <c r="X60" s="8"/>
      <c r="Y60" s="8"/>
    </row>
    <row r="61" spans="2:25" ht="16.5" customHeight="1" thickBot="1" x14ac:dyDescent="0.25">
      <c r="B61" s="7">
        <v>16</v>
      </c>
      <c r="C61" s="251"/>
      <c r="D61" s="236"/>
      <c r="E61" s="236"/>
      <c r="F61" s="236"/>
      <c r="G61" s="62" t="s">
        <v>15</v>
      </c>
      <c r="H61" s="236"/>
      <c r="I61" s="70"/>
      <c r="J61" s="71"/>
      <c r="K61" s="171"/>
      <c r="L61" s="172"/>
      <c r="M61" s="60" t="str">
        <f>IF(AND(I61=0,J61=0,K61=0,L61=0),"",SUM(I61:L61))</f>
        <v/>
      </c>
      <c r="P61" s="8"/>
      <c r="Q61" s="286" t="s">
        <v>41</v>
      </c>
      <c r="R61" s="286"/>
      <c r="S61" s="286"/>
      <c r="T61" s="72" t="e">
        <f>0.6*(16*T59+100)/(80*T59+100)</f>
        <v>#DIV/0!</v>
      </c>
      <c r="U61" s="293">
        <f>0.44*((U59+20)/(4*U59+20))</f>
        <v>0.331886031265759</v>
      </c>
      <c r="V61" s="293"/>
      <c r="W61" s="8"/>
      <c r="X61" s="8"/>
      <c r="Y61" s="8"/>
    </row>
    <row r="62" spans="2:25" ht="13.5" thickBot="1" x14ac:dyDescent="0.25">
      <c r="B62" s="246" t="s">
        <v>18</v>
      </c>
      <c r="C62" s="247"/>
      <c r="D62" s="247"/>
      <c r="E62" s="247"/>
      <c r="F62" s="247"/>
      <c r="G62" s="247"/>
      <c r="H62" s="247"/>
      <c r="I62" s="247"/>
      <c r="J62" s="247"/>
      <c r="K62" s="247"/>
      <c r="L62" s="248"/>
      <c r="P62" s="8"/>
      <c r="Q62" s="287" t="s">
        <v>42</v>
      </c>
      <c r="R62" s="288"/>
      <c r="S62" s="289"/>
      <c r="T62" s="293" t="e">
        <f>Лист1!D13*(T59*T61)/(Лист1!E3+Лист1!F3)*1000</f>
        <v>#DIV/0!</v>
      </c>
      <c r="U62" s="285">
        <f>Лист1!D13*(U59*U61)/(Лист1!E3+Лист1!F3)*1000</f>
        <v>30.226442754063747</v>
      </c>
      <c r="V62" s="285"/>
      <c r="W62" s="8"/>
      <c r="X62" s="8"/>
      <c r="Y62" s="8"/>
    </row>
    <row r="63" spans="2:25" ht="13.5" thickBot="1" x14ac:dyDescent="0.25">
      <c r="B63" s="237" t="s">
        <v>19</v>
      </c>
      <c r="C63" s="238"/>
      <c r="D63" s="238"/>
      <c r="E63" s="238"/>
      <c r="F63" s="238"/>
      <c r="G63" s="238"/>
      <c r="H63" s="238"/>
      <c r="I63" s="238"/>
      <c r="J63" s="238"/>
      <c r="K63" s="238"/>
      <c r="L63" s="239"/>
      <c r="N63" t="s">
        <v>33</v>
      </c>
      <c r="Q63" s="290"/>
      <c r="R63" s="291"/>
      <c r="S63" s="292"/>
      <c r="T63" s="293"/>
      <c r="U63" s="285"/>
      <c r="V63" s="285"/>
    </row>
    <row r="64" spans="2:25" ht="13.5" thickBot="1" x14ac:dyDescent="0.25">
      <c r="K64" s="5">
        <f>IF(AND(I46="",I47="",I54="",I55=""),"",MAX(I54:I57,I46:I49))</f>
        <v>2455</v>
      </c>
      <c r="L64" s="5">
        <f t="shared" ref="L64" si="6">IF(AND(J46="",J47="",J54="",J55=""),"",MAX(J54:J57,J46:J49))</f>
        <v>2490</v>
      </c>
      <c r="M64" s="5" t="str">
        <f>IF(AND(K46="",K47="",K54="",K55=""),"",MAX(K54:K57,K46:K49))</f>
        <v/>
      </c>
      <c r="N64" s="5" t="str">
        <f>IF(AND(L46="",L47="",L54="",L55=""),"",MAX(L54:L57,L46:L49))</f>
        <v/>
      </c>
      <c r="O64" s="3" t="s">
        <v>26</v>
      </c>
    </row>
    <row r="65" spans="11:15" ht="13.5" thickBot="1" x14ac:dyDescent="0.25">
      <c r="K65" s="6">
        <f>IF(AND(I46="",I47="",I54="",I55=""),"",MIN(I54:I57,I46:I49))</f>
        <v>2370</v>
      </c>
      <c r="L65" s="6">
        <f t="shared" ref="L65" si="7">IF(AND(J46="",J47="",J54="",J55=""),"",MIN(J54:J57,J46:J49))</f>
        <v>2385</v>
      </c>
      <c r="M65" s="6" t="str">
        <f>IF(AND(K46="",K47="",K54="",K55=""),"",MIN(K54:K57,K46:K49))</f>
        <v/>
      </c>
      <c r="N65" s="6" t="str">
        <f>IF(AND(L46="",L47="",L54="",L55=""),"",MIN(L54:L57,L46:L49))</f>
        <v/>
      </c>
      <c r="O65" s="3" t="s">
        <v>29</v>
      </c>
    </row>
    <row r="66" spans="11:15" ht="13.5" thickBot="1" x14ac:dyDescent="0.25">
      <c r="N66" t="s">
        <v>34</v>
      </c>
    </row>
    <row r="67" spans="11:15" ht="13.5" thickBot="1" x14ac:dyDescent="0.25">
      <c r="N67" s="5" t="str">
        <f>IF(AND(N50="",N51="",N58="",N59=""),"",MAX(N58:N59,N50:N51))</f>
        <v/>
      </c>
      <c r="O67" s="3" t="s">
        <v>26</v>
      </c>
    </row>
    <row r="68" spans="11:15" ht="13.5" thickBot="1" x14ac:dyDescent="0.25">
      <c r="N68" s="6" t="str">
        <f>IF(AND(N50="",N51="",N58="",N59=""),"",MIN(N58:N59,N50:N51))</f>
        <v/>
      </c>
      <c r="O68" s="3" t="s">
        <v>29</v>
      </c>
    </row>
  </sheetData>
  <mergeCells count="130">
    <mergeCell ref="Q56:S56"/>
    <mergeCell ref="Q54:S54"/>
    <mergeCell ref="U62:V63"/>
    <mergeCell ref="Q61:S61"/>
    <mergeCell ref="Q62:S63"/>
    <mergeCell ref="T62:T63"/>
    <mergeCell ref="Q55:S55"/>
    <mergeCell ref="U61:V61"/>
    <mergeCell ref="Q58:S58"/>
    <mergeCell ref="U58:V58"/>
    <mergeCell ref="U59:V59"/>
    <mergeCell ref="Q57:V57"/>
    <mergeCell ref="Q59:S60"/>
    <mergeCell ref="H2:H4"/>
    <mergeCell ref="B2:B4"/>
    <mergeCell ref="C2:C4"/>
    <mergeCell ref="D2:D4"/>
    <mergeCell ref="F2:F4"/>
    <mergeCell ref="E2:E4"/>
    <mergeCell ref="G2:G4"/>
    <mergeCell ref="Q13:U13"/>
    <mergeCell ref="Q14:U14"/>
    <mergeCell ref="I2:L2"/>
    <mergeCell ref="I3:L3"/>
    <mergeCell ref="D5:D12"/>
    <mergeCell ref="E5:E8"/>
    <mergeCell ref="F5:F8"/>
    <mergeCell ref="G5:G6"/>
    <mergeCell ref="M5:N8"/>
    <mergeCell ref="M9:N12"/>
    <mergeCell ref="M13:N16"/>
    <mergeCell ref="Q5:U5"/>
    <mergeCell ref="Q6:U6"/>
    <mergeCell ref="Q7:U7"/>
    <mergeCell ref="Q8:U8"/>
    <mergeCell ref="Q9:U9"/>
    <mergeCell ref="Q16:U16"/>
    <mergeCell ref="I43:L43"/>
    <mergeCell ref="I44:L44"/>
    <mergeCell ref="H31:H32"/>
    <mergeCell ref="F21:F24"/>
    <mergeCell ref="F13:F16"/>
    <mergeCell ref="G13:G14"/>
    <mergeCell ref="H7:H8"/>
    <mergeCell ref="E9:E12"/>
    <mergeCell ref="F9:F12"/>
    <mergeCell ref="G9:G10"/>
    <mergeCell ref="H11:H12"/>
    <mergeCell ref="B37:L37"/>
    <mergeCell ref="B38:L38"/>
    <mergeCell ref="C5:C20"/>
    <mergeCell ref="C21:C36"/>
    <mergeCell ref="D21:D28"/>
    <mergeCell ref="G21:G22"/>
    <mergeCell ref="H15:H16"/>
    <mergeCell ref="E17:E20"/>
    <mergeCell ref="F17:F20"/>
    <mergeCell ref="G17:G18"/>
    <mergeCell ref="H19:H20"/>
    <mergeCell ref="D13:D20"/>
    <mergeCell ref="E13:E16"/>
    <mergeCell ref="Q50:U50"/>
    <mergeCell ref="Q23:U23"/>
    <mergeCell ref="Q24:U24"/>
    <mergeCell ref="Q25:U25"/>
    <mergeCell ref="Q27:U27"/>
    <mergeCell ref="Q28:U28"/>
    <mergeCell ref="Q29:U29"/>
    <mergeCell ref="Q31:U31"/>
    <mergeCell ref="Q32:U32"/>
    <mergeCell ref="Q33:U33"/>
    <mergeCell ref="V11:V12"/>
    <mergeCell ref="Q11:U12"/>
    <mergeCell ref="Q19:U19"/>
    <mergeCell ref="F33:F36"/>
    <mergeCell ref="G33:G34"/>
    <mergeCell ref="H35:H36"/>
    <mergeCell ref="D29:D36"/>
    <mergeCell ref="E29:E32"/>
    <mergeCell ref="F29:F32"/>
    <mergeCell ref="G29:G30"/>
    <mergeCell ref="H23:H24"/>
    <mergeCell ref="E25:E28"/>
    <mergeCell ref="F25:F28"/>
    <mergeCell ref="G25:G26"/>
    <mergeCell ref="H27:H28"/>
    <mergeCell ref="E21:E24"/>
    <mergeCell ref="Q20:U20"/>
    <mergeCell ref="Q21:U21"/>
    <mergeCell ref="Q15:U15"/>
    <mergeCell ref="M21:N24"/>
    <mergeCell ref="M25:N28"/>
    <mergeCell ref="M29:N32"/>
    <mergeCell ref="M33:N36"/>
    <mergeCell ref="M17:N20"/>
    <mergeCell ref="G43:G45"/>
    <mergeCell ref="H43:H45"/>
    <mergeCell ref="D54:D57"/>
    <mergeCell ref="B43:B45"/>
    <mergeCell ref="C43:C45"/>
    <mergeCell ref="D43:D45"/>
    <mergeCell ref="E43:E45"/>
    <mergeCell ref="E54:E57"/>
    <mergeCell ref="F54:F57"/>
    <mergeCell ref="G50:G51"/>
    <mergeCell ref="G46:G47"/>
    <mergeCell ref="Q51:T51"/>
    <mergeCell ref="Q52:T52"/>
    <mergeCell ref="Q53:T53"/>
    <mergeCell ref="E33:E36"/>
    <mergeCell ref="B63:L63"/>
    <mergeCell ref="G54:G55"/>
    <mergeCell ref="H56:H57"/>
    <mergeCell ref="D58:D61"/>
    <mergeCell ref="E58:E61"/>
    <mergeCell ref="F58:F61"/>
    <mergeCell ref="G58:G59"/>
    <mergeCell ref="B62:L62"/>
    <mergeCell ref="H60:H61"/>
    <mergeCell ref="C54:C61"/>
    <mergeCell ref="H52:H53"/>
    <mergeCell ref="C46:C53"/>
    <mergeCell ref="D46:D49"/>
    <mergeCell ref="E46:E49"/>
    <mergeCell ref="F46:F49"/>
    <mergeCell ref="D50:D53"/>
    <mergeCell ref="E50:E53"/>
    <mergeCell ref="F50:F53"/>
    <mergeCell ref="H48:H49"/>
    <mergeCell ref="F43:F45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cellWatches>
    <cellWatch r="O7"/>
  </cellWatches>
  <drawing r:id="rId2"/>
  <legacyDrawing r:id="rId3"/>
  <oleObjects>
    <mc:AlternateContent xmlns:mc="http://schemas.openxmlformats.org/markup-compatibility/2006">
      <mc:Choice Requires="x14">
        <oleObject progId="Word.Document.8" shapeId="1078" r:id="rId4">
          <objectPr defaultSize="0" autoPict="0" r:id="rId5">
            <anchor moveWithCells="1">
              <from>
                <xdr:col>16</xdr:col>
                <xdr:colOff>0</xdr:colOff>
                <xdr:row>64</xdr:row>
                <xdr:rowOff>152400</xdr:rowOff>
              </from>
              <to>
                <xdr:col>19</xdr:col>
                <xdr:colOff>790575</xdr:colOff>
                <xdr:row>68</xdr:row>
                <xdr:rowOff>76200</xdr:rowOff>
              </to>
            </anchor>
          </objectPr>
        </oleObject>
      </mc:Choice>
      <mc:Fallback>
        <oleObject progId="Word.Document.8" shapeId="1078" r:id="rId4"/>
      </mc:Fallback>
    </mc:AlternateContent>
    <mc:AlternateContent xmlns:mc="http://schemas.openxmlformats.org/markup-compatibility/2006">
      <mc:Choice Requires="x14">
        <oleObject progId="Word.Document.8" shapeId="1079" r:id="rId6">
          <objectPr defaultSize="0" r:id="rId7">
            <anchor moveWithCells="1">
              <from>
                <xdr:col>19</xdr:col>
                <xdr:colOff>819150</xdr:colOff>
                <xdr:row>63</xdr:row>
                <xdr:rowOff>85725</xdr:rowOff>
              </from>
              <to>
                <xdr:col>21</xdr:col>
                <xdr:colOff>257175</xdr:colOff>
                <xdr:row>66</xdr:row>
                <xdr:rowOff>47625</xdr:rowOff>
              </to>
            </anchor>
          </objectPr>
        </oleObject>
      </mc:Choice>
      <mc:Fallback>
        <oleObject progId="Word.Document.8" shapeId="1079" r:id="rId6"/>
      </mc:Fallback>
    </mc:AlternateContent>
    <mc:AlternateContent xmlns:mc="http://schemas.openxmlformats.org/markup-compatibility/2006">
      <mc:Choice Requires="x14">
        <oleObject progId="Word.Document.8" shapeId="1080" r:id="rId8">
          <objectPr defaultSize="0" r:id="rId9">
            <anchor moveWithCells="1">
              <from>
                <xdr:col>21</xdr:col>
                <xdr:colOff>295275</xdr:colOff>
                <xdr:row>65</xdr:row>
                <xdr:rowOff>57150</xdr:rowOff>
              </from>
              <to>
                <xdr:col>22</xdr:col>
                <xdr:colOff>723900</xdr:colOff>
                <xdr:row>68</xdr:row>
                <xdr:rowOff>19050</xdr:rowOff>
              </to>
            </anchor>
          </objectPr>
        </oleObject>
      </mc:Choice>
      <mc:Fallback>
        <oleObject progId="Word.Document.8" shapeId="1080" r:id="rId8"/>
      </mc:Fallback>
    </mc:AlternateContent>
    <mc:AlternateContent xmlns:mc="http://schemas.openxmlformats.org/markup-compatibility/2006">
      <mc:Choice Requires="x14">
        <oleObject progId="Word.Document.8" shapeId="1081" r:id="rId10">
          <objectPr defaultSize="0" r:id="rId11">
            <anchor moveWithCells="1">
              <from>
                <xdr:col>19</xdr:col>
                <xdr:colOff>819150</xdr:colOff>
                <xdr:row>66</xdr:row>
                <xdr:rowOff>85725</xdr:rowOff>
              </from>
              <to>
                <xdr:col>21</xdr:col>
                <xdr:colOff>76200</xdr:colOff>
                <xdr:row>69</xdr:row>
                <xdr:rowOff>47625</xdr:rowOff>
              </to>
            </anchor>
          </objectPr>
        </oleObject>
      </mc:Choice>
      <mc:Fallback>
        <oleObject progId="Word.Document.8" shapeId="1081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115"/>
  <sheetViews>
    <sheetView tabSelected="1" topLeftCell="D46" workbookViewId="0">
      <selection activeCell="T80" sqref="T80"/>
    </sheetView>
  </sheetViews>
  <sheetFormatPr defaultRowHeight="12.75" x14ac:dyDescent="0.2"/>
  <cols>
    <col min="1" max="3" width="9.140625" style="93"/>
    <col min="4" max="4" width="10" style="93" bestFit="1" customWidth="1"/>
    <col min="5" max="6" width="9.140625" style="93"/>
    <col min="7" max="7" width="10.140625" style="93" customWidth="1"/>
    <col min="8" max="8" width="10.7109375" style="93" customWidth="1"/>
    <col min="9" max="16384" width="9.140625" style="93"/>
  </cols>
  <sheetData>
    <row r="1" spans="1:9" ht="24" customHeight="1" thickTop="1" x14ac:dyDescent="0.2">
      <c r="A1" s="329" t="s">
        <v>105</v>
      </c>
      <c r="B1" s="331" t="s">
        <v>106</v>
      </c>
      <c r="C1" s="332"/>
      <c r="D1" s="332"/>
      <c r="E1" s="332"/>
      <c r="F1" s="332"/>
      <c r="G1" s="332"/>
      <c r="H1" s="332"/>
      <c r="I1" s="333"/>
    </row>
    <row r="2" spans="1:9" ht="14.25" customHeight="1" thickBot="1" x14ac:dyDescent="0.35">
      <c r="A2" s="330"/>
      <c r="B2" s="334" t="s">
        <v>181</v>
      </c>
      <c r="C2" s="335"/>
      <c r="D2" s="335"/>
      <c r="E2" s="335"/>
      <c r="F2" s="335"/>
      <c r="G2" s="335"/>
      <c r="H2" s="335"/>
      <c r="I2" s="336"/>
    </row>
    <row r="3" spans="1:9" ht="14.25" thickTop="1" thickBot="1" x14ac:dyDescent="0.25">
      <c r="A3" s="307" t="s">
        <v>107</v>
      </c>
      <c r="B3" s="308"/>
      <c r="C3" s="308"/>
      <c r="D3" s="308"/>
      <c r="E3" s="308"/>
      <c r="F3" s="308"/>
      <c r="G3" s="308"/>
      <c r="H3" s="308"/>
      <c r="I3" s="309"/>
    </row>
    <row r="4" spans="1:9" ht="27" thickTop="1" thickBot="1" x14ac:dyDescent="0.25">
      <c r="A4" s="95"/>
      <c r="B4" s="96" t="s">
        <v>108</v>
      </c>
      <c r="C4" s="96" t="s">
        <v>109</v>
      </c>
      <c r="D4" s="96" t="s">
        <v>110</v>
      </c>
      <c r="E4" s="96" t="s">
        <v>111</v>
      </c>
      <c r="F4" s="310" t="s">
        <v>112</v>
      </c>
      <c r="G4" s="311"/>
      <c r="H4" s="96" t="s">
        <v>113</v>
      </c>
      <c r="I4" s="97" t="s">
        <v>114</v>
      </c>
    </row>
    <row r="5" spans="1:9" ht="13.5" thickBot="1" x14ac:dyDescent="0.25">
      <c r="A5" s="95" t="s">
        <v>115</v>
      </c>
      <c r="B5" s="96">
        <v>227</v>
      </c>
      <c r="C5" s="96">
        <v>127</v>
      </c>
      <c r="D5" s="96">
        <v>177</v>
      </c>
      <c r="E5" s="96">
        <v>227</v>
      </c>
      <c r="F5" s="302">
        <v>127</v>
      </c>
      <c r="G5" s="303"/>
      <c r="H5" s="96">
        <v>177</v>
      </c>
      <c r="I5" s="97">
        <v>227</v>
      </c>
    </row>
    <row r="6" spans="1:9" ht="13.5" thickBot="1" x14ac:dyDescent="0.25">
      <c r="A6" s="95" t="s">
        <v>116</v>
      </c>
      <c r="B6" s="96" t="s">
        <v>117</v>
      </c>
      <c r="C6" s="302" t="s">
        <v>118</v>
      </c>
      <c r="D6" s="303"/>
      <c r="E6" s="96" t="s">
        <v>117</v>
      </c>
      <c r="F6" s="302" t="s">
        <v>118</v>
      </c>
      <c r="G6" s="304"/>
      <c r="H6" s="303"/>
      <c r="I6" s="97" t="s">
        <v>117</v>
      </c>
    </row>
    <row r="7" spans="1:9" ht="13.5" thickBot="1" x14ac:dyDescent="0.25">
      <c r="A7" s="94" t="s">
        <v>119</v>
      </c>
      <c r="B7" s="98">
        <v>950</v>
      </c>
      <c r="C7" s="315">
        <v>1030</v>
      </c>
      <c r="D7" s="316"/>
      <c r="E7" s="346"/>
      <c r="F7" s="315">
        <v>1110</v>
      </c>
      <c r="G7" s="316"/>
      <c r="H7" s="316"/>
      <c r="I7" s="317"/>
    </row>
    <row r="8" spans="1:9" ht="14.25" thickTop="1" thickBot="1" x14ac:dyDescent="0.25">
      <c r="A8" s="307" t="s">
        <v>120</v>
      </c>
      <c r="B8" s="308"/>
      <c r="C8" s="308"/>
      <c r="D8" s="308"/>
      <c r="E8" s="308"/>
      <c r="F8" s="308"/>
      <c r="G8" s="308"/>
      <c r="H8" s="308"/>
      <c r="I8" s="309"/>
    </row>
    <row r="9" spans="1:9" ht="27" thickTop="1" thickBot="1" x14ac:dyDescent="0.25">
      <c r="A9" s="95"/>
      <c r="B9" s="96" t="s">
        <v>121</v>
      </c>
      <c r="C9" s="96" t="s">
        <v>122</v>
      </c>
      <c r="D9" s="96" t="s">
        <v>123</v>
      </c>
      <c r="E9" s="96" t="s">
        <v>124</v>
      </c>
      <c r="F9" s="310" t="s">
        <v>125</v>
      </c>
      <c r="G9" s="311"/>
      <c r="H9" s="310" t="s">
        <v>126</v>
      </c>
      <c r="I9" s="312"/>
    </row>
    <row r="10" spans="1:9" ht="13.5" thickBot="1" x14ac:dyDescent="0.25">
      <c r="A10" s="95" t="s">
        <v>115</v>
      </c>
      <c r="B10" s="96">
        <v>227</v>
      </c>
      <c r="C10" s="96">
        <v>127</v>
      </c>
      <c r="D10" s="96">
        <v>177</v>
      </c>
      <c r="E10" s="96">
        <v>227</v>
      </c>
      <c r="F10" s="302">
        <v>127</v>
      </c>
      <c r="G10" s="303"/>
      <c r="H10" s="302">
        <v>177</v>
      </c>
      <c r="I10" s="305"/>
    </row>
    <row r="11" spans="1:9" ht="13.5" thickBot="1" x14ac:dyDescent="0.25">
      <c r="A11" s="95" t="s">
        <v>116</v>
      </c>
      <c r="B11" s="96" t="s">
        <v>117</v>
      </c>
      <c r="C11" s="302" t="s">
        <v>118</v>
      </c>
      <c r="D11" s="303"/>
      <c r="E11" s="96" t="s">
        <v>117</v>
      </c>
      <c r="F11" s="302" t="s">
        <v>118</v>
      </c>
      <c r="G11" s="304"/>
      <c r="H11" s="304"/>
      <c r="I11" s="305"/>
    </row>
    <row r="12" spans="1:9" ht="13.5" thickBot="1" x14ac:dyDescent="0.25">
      <c r="A12" s="94" t="s">
        <v>119</v>
      </c>
      <c r="B12" s="98">
        <v>950</v>
      </c>
      <c r="C12" s="315">
        <v>1030</v>
      </c>
      <c r="D12" s="316"/>
      <c r="E12" s="346"/>
      <c r="F12" s="315">
        <v>1110</v>
      </c>
      <c r="G12" s="316"/>
      <c r="H12" s="316"/>
      <c r="I12" s="317"/>
    </row>
    <row r="13" spans="1:9" ht="14.25" thickTop="1" thickBot="1" x14ac:dyDescent="0.25">
      <c r="A13" s="307" t="s">
        <v>127</v>
      </c>
      <c r="B13" s="308"/>
      <c r="C13" s="308"/>
      <c r="D13" s="308"/>
      <c r="E13" s="308"/>
      <c r="F13" s="308"/>
      <c r="G13" s="308"/>
      <c r="H13" s="308"/>
      <c r="I13" s="309"/>
    </row>
    <row r="14" spans="1:9" ht="27" thickTop="1" thickBot="1" x14ac:dyDescent="0.25">
      <c r="A14" s="95"/>
      <c r="B14" s="96" t="s">
        <v>128</v>
      </c>
      <c r="C14" s="96" t="s">
        <v>129</v>
      </c>
      <c r="D14" s="96" t="s">
        <v>130</v>
      </c>
      <c r="E14" s="96" t="s">
        <v>131</v>
      </c>
      <c r="F14" s="96" t="s">
        <v>132</v>
      </c>
      <c r="G14" s="310" t="s">
        <v>133</v>
      </c>
      <c r="H14" s="311"/>
      <c r="I14" s="97" t="s">
        <v>134</v>
      </c>
    </row>
    <row r="15" spans="1:9" ht="13.5" thickBot="1" x14ac:dyDescent="0.25">
      <c r="A15" s="95" t="s">
        <v>115</v>
      </c>
      <c r="B15" s="96">
        <v>177</v>
      </c>
      <c r="C15" s="96">
        <v>227</v>
      </c>
      <c r="D15" s="96">
        <v>127</v>
      </c>
      <c r="E15" s="96">
        <v>177</v>
      </c>
      <c r="F15" s="96">
        <v>227</v>
      </c>
      <c r="G15" s="302">
        <v>127</v>
      </c>
      <c r="H15" s="303"/>
      <c r="I15" s="97">
        <v>177</v>
      </c>
    </row>
    <row r="16" spans="1:9" ht="13.5" thickBot="1" x14ac:dyDescent="0.25">
      <c r="A16" s="95" t="s">
        <v>116</v>
      </c>
      <c r="B16" s="96" t="s">
        <v>118</v>
      </c>
      <c r="C16" s="96" t="s">
        <v>117</v>
      </c>
      <c r="D16" s="302" t="s">
        <v>118</v>
      </c>
      <c r="E16" s="303"/>
      <c r="F16" s="96" t="s">
        <v>117</v>
      </c>
      <c r="G16" s="302" t="s">
        <v>118</v>
      </c>
      <c r="H16" s="304"/>
      <c r="I16" s="305"/>
    </row>
    <row r="17" spans="1:9" ht="13.5" thickBot="1" x14ac:dyDescent="0.25">
      <c r="A17" s="94" t="s">
        <v>119</v>
      </c>
      <c r="B17" s="98">
        <v>950</v>
      </c>
      <c r="C17" s="315">
        <v>1030</v>
      </c>
      <c r="D17" s="316"/>
      <c r="E17" s="316"/>
      <c r="F17" s="346"/>
      <c r="G17" s="315">
        <v>1110</v>
      </c>
      <c r="H17" s="316"/>
      <c r="I17" s="317"/>
    </row>
    <row r="18" spans="1:9" ht="13.5" thickTop="1" x14ac:dyDescent="0.2"/>
    <row r="20" spans="1:9" ht="13.5" thickBot="1" x14ac:dyDescent="0.25"/>
    <row r="21" spans="1:9" ht="13.5" thickBot="1" x14ac:dyDescent="0.25">
      <c r="A21" s="320" t="s">
        <v>136</v>
      </c>
      <c r="B21" s="321"/>
      <c r="C21" s="321"/>
      <c r="D21" s="321"/>
      <c r="E21" s="322"/>
      <c r="F21" s="320" t="s">
        <v>0</v>
      </c>
      <c r="G21" s="322"/>
    </row>
    <row r="22" spans="1:9" ht="13.5" thickBot="1" x14ac:dyDescent="0.25">
      <c r="A22" s="347" t="s">
        <v>217</v>
      </c>
      <c r="B22" s="347"/>
      <c r="C22" s="347"/>
      <c r="D22" s="347"/>
      <c r="E22" s="347"/>
      <c r="F22" s="177">
        <v>50</v>
      </c>
      <c r="G22" s="177">
        <v>100</v>
      </c>
    </row>
    <row r="23" spans="1:9" x14ac:dyDescent="0.2">
      <c r="A23" s="354" t="s">
        <v>137</v>
      </c>
      <c r="B23" s="356"/>
      <c r="C23" s="356"/>
      <c r="D23" s="356"/>
      <c r="E23" s="355"/>
      <c r="F23" s="99">
        <v>50</v>
      </c>
      <c r="G23" s="100">
        <v>100</v>
      </c>
    </row>
    <row r="24" spans="1:9" x14ac:dyDescent="0.2">
      <c r="A24" s="348" t="s">
        <v>138</v>
      </c>
      <c r="B24" s="349"/>
      <c r="C24" s="349"/>
      <c r="D24" s="349"/>
      <c r="E24" s="350"/>
      <c r="F24" s="101">
        <v>75</v>
      </c>
      <c r="G24" s="102">
        <v>125</v>
      </c>
    </row>
    <row r="25" spans="1:9" x14ac:dyDescent="0.2">
      <c r="A25" s="348" t="s">
        <v>139</v>
      </c>
      <c r="B25" s="349"/>
      <c r="C25" s="349"/>
      <c r="D25" s="349"/>
      <c r="E25" s="350"/>
      <c r="F25" s="101">
        <v>25</v>
      </c>
      <c r="G25" s="102">
        <v>65</v>
      </c>
    </row>
    <row r="26" spans="1:9" ht="13.5" thickBot="1" x14ac:dyDescent="0.25">
      <c r="A26" s="351" t="s">
        <v>140</v>
      </c>
      <c r="B26" s="352"/>
      <c r="C26" s="352"/>
      <c r="D26" s="352"/>
      <c r="E26" s="353"/>
      <c r="F26" s="103">
        <v>30</v>
      </c>
      <c r="G26" s="104">
        <v>90</v>
      </c>
    </row>
    <row r="27" spans="1:9" ht="13.5" thickBot="1" x14ac:dyDescent="0.25"/>
    <row r="28" spans="1:9" ht="13.5" thickBot="1" x14ac:dyDescent="0.25">
      <c r="A28" s="320" t="s">
        <v>141</v>
      </c>
      <c r="B28" s="321"/>
      <c r="C28" s="321"/>
      <c r="D28" s="322"/>
    </row>
    <row r="29" spans="1:9" ht="13.5" thickBot="1" x14ac:dyDescent="0.25">
      <c r="A29" s="320" t="s">
        <v>142</v>
      </c>
      <c r="B29" s="322"/>
      <c r="C29" s="320" t="s">
        <v>143</v>
      </c>
      <c r="D29" s="322"/>
    </row>
    <row r="30" spans="1:9" x14ac:dyDescent="0.2">
      <c r="A30" s="354" t="s">
        <v>144</v>
      </c>
      <c r="B30" s="355"/>
      <c r="C30" s="99">
        <v>5</v>
      </c>
      <c r="D30" s="100">
        <v>11</v>
      </c>
    </row>
    <row r="31" spans="1:9" x14ac:dyDescent="0.2">
      <c r="A31" s="348" t="s">
        <v>145</v>
      </c>
      <c r="B31" s="350"/>
      <c r="C31" s="101">
        <v>7</v>
      </c>
      <c r="D31" s="102">
        <v>20</v>
      </c>
    </row>
    <row r="32" spans="1:9" ht="13.5" thickBot="1" x14ac:dyDescent="0.25">
      <c r="A32" s="351" t="s">
        <v>103</v>
      </c>
      <c r="B32" s="353"/>
      <c r="C32" s="103">
        <v>5</v>
      </c>
      <c r="D32" s="104">
        <v>10</v>
      </c>
    </row>
    <row r="34" spans="1:9" ht="13.5" thickBot="1" x14ac:dyDescent="0.25">
      <c r="A34" s="327" t="s">
        <v>146</v>
      </c>
      <c r="B34" s="327"/>
      <c r="C34" s="327"/>
      <c r="D34" s="327"/>
      <c r="E34" s="327"/>
      <c r="F34" s="327"/>
      <c r="G34" s="327"/>
      <c r="H34" s="327"/>
      <c r="I34" s="327"/>
    </row>
    <row r="35" spans="1:9" ht="13.5" thickBot="1" x14ac:dyDescent="0.25">
      <c r="A35" s="323" t="s">
        <v>147</v>
      </c>
      <c r="B35" s="324"/>
      <c r="C35" s="324"/>
      <c r="D35" s="324"/>
      <c r="E35" s="325"/>
      <c r="F35" s="318" t="s">
        <v>148</v>
      </c>
      <c r="G35" s="320" t="s">
        <v>149</v>
      </c>
      <c r="H35" s="321"/>
      <c r="I35" s="322"/>
    </row>
    <row r="36" spans="1:9" ht="25.5" customHeight="1" thickBot="1" x14ac:dyDescent="0.25">
      <c r="A36" s="326"/>
      <c r="B36" s="327"/>
      <c r="C36" s="327"/>
      <c r="D36" s="327"/>
      <c r="E36" s="328"/>
      <c r="F36" s="319"/>
      <c r="G36" s="105" t="s">
        <v>150</v>
      </c>
      <c r="H36" s="105" t="s">
        <v>151</v>
      </c>
      <c r="I36" s="105" t="s">
        <v>152</v>
      </c>
    </row>
    <row r="37" spans="1:9" x14ac:dyDescent="0.2">
      <c r="A37" s="338" t="s">
        <v>153</v>
      </c>
      <c r="B37" s="339"/>
      <c r="C37" s="339"/>
      <c r="D37" s="339"/>
      <c r="E37" s="340"/>
      <c r="F37" s="106" t="s">
        <v>158</v>
      </c>
      <c r="G37" s="107" t="s">
        <v>160</v>
      </c>
      <c r="H37" s="107" t="s">
        <v>161</v>
      </c>
      <c r="I37" s="107" t="s">
        <v>162</v>
      </c>
    </row>
    <row r="38" spans="1:9" ht="13.5" thickBot="1" x14ac:dyDescent="0.25">
      <c r="A38" s="341"/>
      <c r="B38" s="342"/>
      <c r="C38" s="342"/>
      <c r="D38" s="342"/>
      <c r="E38" s="343"/>
      <c r="F38" s="108" t="s">
        <v>159</v>
      </c>
      <c r="G38" s="109" t="s">
        <v>163</v>
      </c>
      <c r="H38" s="109" t="s">
        <v>164</v>
      </c>
      <c r="I38" s="109" t="s">
        <v>165</v>
      </c>
    </row>
    <row r="39" spans="1:9" x14ac:dyDescent="0.2">
      <c r="A39" s="338" t="s">
        <v>154</v>
      </c>
      <c r="B39" s="339"/>
      <c r="C39" s="339"/>
      <c r="D39" s="339"/>
      <c r="E39" s="340"/>
      <c r="F39" s="344" t="s">
        <v>158</v>
      </c>
      <c r="G39" s="313" t="s">
        <v>166</v>
      </c>
      <c r="H39" s="313"/>
      <c r="I39" s="313"/>
    </row>
    <row r="40" spans="1:9" ht="13.5" thickBot="1" x14ac:dyDescent="0.25">
      <c r="A40" s="341"/>
      <c r="B40" s="342"/>
      <c r="C40" s="342"/>
      <c r="D40" s="342"/>
      <c r="E40" s="343"/>
      <c r="F40" s="345"/>
      <c r="G40" s="314"/>
      <c r="H40" s="314"/>
      <c r="I40" s="314"/>
    </row>
    <row r="41" spans="1:9" x14ac:dyDescent="0.2">
      <c r="A41" s="338" t="s">
        <v>155</v>
      </c>
      <c r="B41" s="339"/>
      <c r="C41" s="339"/>
      <c r="D41" s="339"/>
      <c r="E41" s="340"/>
      <c r="F41" s="344" t="s">
        <v>158</v>
      </c>
      <c r="G41" s="337" t="s">
        <v>167</v>
      </c>
      <c r="H41" s="313"/>
      <c r="I41" s="313" t="s">
        <v>167</v>
      </c>
    </row>
    <row r="42" spans="1:9" ht="13.5" thickBot="1" x14ac:dyDescent="0.25">
      <c r="A42" s="341"/>
      <c r="B42" s="342"/>
      <c r="C42" s="342"/>
      <c r="D42" s="342"/>
      <c r="E42" s="343"/>
      <c r="F42" s="345"/>
      <c r="G42" s="337"/>
      <c r="H42" s="314"/>
      <c r="I42" s="314"/>
    </row>
    <row r="43" spans="1:9" x14ac:dyDescent="0.2">
      <c r="A43" s="338" t="s">
        <v>156</v>
      </c>
      <c r="B43" s="339"/>
      <c r="C43" s="339"/>
      <c r="D43" s="339"/>
      <c r="E43" s="340"/>
      <c r="F43" s="106" t="s">
        <v>158</v>
      </c>
      <c r="G43" s="107" t="s">
        <v>168</v>
      </c>
      <c r="H43" s="107" t="s">
        <v>169</v>
      </c>
      <c r="I43" s="313"/>
    </row>
    <row r="44" spans="1:9" ht="13.5" thickBot="1" x14ac:dyDescent="0.25">
      <c r="A44" s="341"/>
      <c r="B44" s="342"/>
      <c r="C44" s="342"/>
      <c r="D44" s="342"/>
      <c r="E44" s="343"/>
      <c r="F44" s="108" t="s">
        <v>159</v>
      </c>
      <c r="G44" s="109" t="s">
        <v>170</v>
      </c>
      <c r="H44" s="109" t="s">
        <v>171</v>
      </c>
      <c r="I44" s="314"/>
    </row>
    <row r="45" spans="1:9" x14ac:dyDescent="0.2">
      <c r="A45" s="338" t="s">
        <v>157</v>
      </c>
      <c r="B45" s="339"/>
      <c r="C45" s="339"/>
      <c r="D45" s="339"/>
      <c r="E45" s="340"/>
      <c r="F45" s="106" t="s">
        <v>158</v>
      </c>
      <c r="G45" s="313"/>
      <c r="H45" s="107" t="s">
        <v>161</v>
      </c>
      <c r="I45" s="313"/>
    </row>
    <row r="46" spans="1:9" ht="13.5" thickBot="1" x14ac:dyDescent="0.25">
      <c r="A46" s="341"/>
      <c r="B46" s="342"/>
      <c r="C46" s="342"/>
      <c r="D46" s="342"/>
      <c r="E46" s="343"/>
      <c r="F46" s="108" t="s">
        <v>159</v>
      </c>
      <c r="G46" s="314"/>
      <c r="H46" s="109" t="s">
        <v>172</v>
      </c>
      <c r="I46" s="314"/>
    </row>
    <row r="47" spans="1:9" x14ac:dyDescent="0.2">
      <c r="A47" s="344" t="s">
        <v>215</v>
      </c>
      <c r="B47" s="344"/>
      <c r="C47" s="344"/>
      <c r="D47" s="344"/>
      <c r="E47" s="344"/>
      <c r="F47" s="344" t="s">
        <v>158</v>
      </c>
      <c r="G47" s="360" t="s">
        <v>216</v>
      </c>
      <c r="H47" s="318"/>
      <c r="I47" s="360" t="s">
        <v>216</v>
      </c>
    </row>
    <row r="48" spans="1:9" ht="13.5" thickBot="1" x14ac:dyDescent="0.25">
      <c r="A48" s="345"/>
      <c r="B48" s="345"/>
      <c r="C48" s="345"/>
      <c r="D48" s="345"/>
      <c r="E48" s="345"/>
      <c r="F48" s="345"/>
      <c r="G48" s="361"/>
      <c r="H48" s="319"/>
      <c r="I48" s="361"/>
    </row>
    <row r="59" spans="1:19" ht="13.5" thickBot="1" x14ac:dyDescent="0.25">
      <c r="A59" s="362" t="s">
        <v>189</v>
      </c>
      <c r="B59" s="362"/>
      <c r="C59" s="362"/>
      <c r="D59" s="362"/>
      <c r="E59" s="362"/>
      <c r="F59" s="362"/>
      <c r="H59" s="362" t="s">
        <v>190</v>
      </c>
      <c r="I59" s="362"/>
      <c r="J59" s="362"/>
      <c r="K59" s="362"/>
      <c r="L59" s="362"/>
      <c r="M59" s="362"/>
      <c r="N59" s="362" t="s">
        <v>220</v>
      </c>
      <c r="O59" s="362"/>
      <c r="P59" s="362"/>
      <c r="Q59" s="362"/>
      <c r="R59" s="362"/>
      <c r="S59" s="362"/>
    </row>
    <row r="60" spans="1:19" ht="12.75" customHeight="1" thickBot="1" x14ac:dyDescent="0.25">
      <c r="A60" s="367" t="s">
        <v>174</v>
      </c>
      <c r="B60" s="368"/>
      <c r="C60" s="369"/>
      <c r="D60" s="360" t="s">
        <v>180</v>
      </c>
      <c r="E60" s="357" t="s">
        <v>173</v>
      </c>
      <c r="F60" s="373"/>
      <c r="H60" s="122" t="s">
        <v>148</v>
      </c>
      <c r="I60" s="320" t="s">
        <v>191</v>
      </c>
      <c r="J60" s="322"/>
      <c r="K60" s="320" t="s">
        <v>192</v>
      </c>
      <c r="L60" s="322"/>
      <c r="N60" s="367" t="s">
        <v>174</v>
      </c>
      <c r="O60" s="368"/>
      <c r="P60" s="369"/>
      <c r="Q60" s="360" t="s">
        <v>180</v>
      </c>
      <c r="R60" s="357" t="s">
        <v>173</v>
      </c>
      <c r="S60" s="373"/>
    </row>
    <row r="61" spans="1:19" ht="13.5" customHeight="1" thickBot="1" x14ac:dyDescent="0.25">
      <c r="A61" s="370"/>
      <c r="B61" s="371"/>
      <c r="C61" s="372"/>
      <c r="D61" s="361"/>
      <c r="E61" s="359"/>
      <c r="F61" s="374"/>
      <c r="H61" s="360" t="s">
        <v>193</v>
      </c>
      <c r="I61" s="88">
        <v>0</v>
      </c>
      <c r="J61" s="89">
        <v>27</v>
      </c>
      <c r="K61" s="123">
        <v>1.3</v>
      </c>
      <c r="L61" s="89">
        <v>1.6</v>
      </c>
      <c r="N61" s="370"/>
      <c r="O61" s="371"/>
      <c r="P61" s="372"/>
      <c r="Q61" s="361"/>
      <c r="R61" s="359"/>
      <c r="S61" s="374"/>
    </row>
    <row r="62" spans="1:19" ht="13.5" customHeight="1" thickBot="1" x14ac:dyDescent="0.25">
      <c r="A62" s="364" t="s">
        <v>175</v>
      </c>
      <c r="B62" s="365"/>
      <c r="C62" s="366"/>
      <c r="D62" s="87" t="s">
        <v>9</v>
      </c>
      <c r="E62" s="87">
        <v>1.4</v>
      </c>
      <c r="F62" s="87">
        <v>1.8</v>
      </c>
      <c r="H62" s="363"/>
      <c r="I62" s="121">
        <v>27</v>
      </c>
      <c r="J62" s="124">
        <v>32</v>
      </c>
      <c r="K62" s="125">
        <v>1.5</v>
      </c>
      <c r="L62" s="124">
        <v>1.9</v>
      </c>
      <c r="N62" s="367" t="s">
        <v>175</v>
      </c>
      <c r="O62" s="368"/>
      <c r="P62" s="369"/>
      <c r="Q62" s="181" t="s">
        <v>9</v>
      </c>
      <c r="R62" s="181">
        <v>1.4</v>
      </c>
      <c r="S62" s="181">
        <v>1.8</v>
      </c>
    </row>
    <row r="63" spans="1:19" ht="12.75" customHeight="1" thickBot="1" x14ac:dyDescent="0.25">
      <c r="A63" s="338" t="s">
        <v>176</v>
      </c>
      <c r="B63" s="339"/>
      <c r="C63" s="340"/>
      <c r="D63" s="87" t="s">
        <v>10</v>
      </c>
      <c r="E63" s="87">
        <v>1.2</v>
      </c>
      <c r="F63" s="87">
        <v>1.6</v>
      </c>
      <c r="H63" s="363"/>
      <c r="I63" s="121">
        <v>32</v>
      </c>
      <c r="J63" s="124">
        <v>36</v>
      </c>
      <c r="K63" s="125">
        <v>1.8</v>
      </c>
      <c r="L63" s="124">
        <v>2.2000000000000002</v>
      </c>
      <c r="N63" s="381"/>
      <c r="O63" s="382"/>
      <c r="P63" s="383"/>
      <c r="Q63" s="181" t="s">
        <v>10</v>
      </c>
      <c r="R63" s="120">
        <v>3</v>
      </c>
      <c r="S63" s="181">
        <v>3.4</v>
      </c>
    </row>
    <row r="64" spans="1:19" ht="13.5" thickBot="1" x14ac:dyDescent="0.25">
      <c r="A64" s="341"/>
      <c r="B64" s="342"/>
      <c r="C64" s="343"/>
      <c r="D64" s="86" t="s">
        <v>16</v>
      </c>
      <c r="E64" s="87">
        <v>1.4</v>
      </c>
      <c r="F64" s="120">
        <v>2</v>
      </c>
      <c r="H64" s="361"/>
      <c r="I64" s="90">
        <v>36</v>
      </c>
      <c r="J64" s="91">
        <v>45</v>
      </c>
      <c r="K64" s="126">
        <v>2.1</v>
      </c>
      <c r="L64" s="91">
        <v>2.4</v>
      </c>
      <c r="N64" s="381"/>
      <c r="O64" s="382"/>
      <c r="P64" s="383"/>
      <c r="Q64" s="86" t="s">
        <v>16</v>
      </c>
      <c r="R64" s="384">
        <v>4</v>
      </c>
      <c r="S64" s="384">
        <v>4.5</v>
      </c>
    </row>
    <row r="65" spans="1:19" ht="28.5" customHeight="1" thickBot="1" x14ac:dyDescent="0.25">
      <c r="A65" s="375" t="s">
        <v>177</v>
      </c>
      <c r="B65" s="375"/>
      <c r="C65" s="375"/>
      <c r="D65" s="306" t="s">
        <v>10</v>
      </c>
      <c r="E65" s="87">
        <v>1.5</v>
      </c>
      <c r="F65" s="87">
        <v>1.7</v>
      </c>
      <c r="H65" s="357" t="s">
        <v>159</v>
      </c>
      <c r="I65" s="88">
        <v>0</v>
      </c>
      <c r="J65" s="89">
        <v>27</v>
      </c>
      <c r="K65" s="123">
        <v>1.6</v>
      </c>
      <c r="L65" s="89">
        <v>2</v>
      </c>
      <c r="N65" s="387" t="s">
        <v>221</v>
      </c>
      <c r="O65" s="388"/>
      <c r="P65" s="388"/>
      <c r="Q65" s="388"/>
      <c r="R65" s="388"/>
      <c r="S65" s="389"/>
    </row>
    <row r="66" spans="1:19" ht="28.5" customHeight="1" thickBot="1" x14ac:dyDescent="0.25">
      <c r="A66" s="375" t="s">
        <v>178</v>
      </c>
      <c r="B66" s="375"/>
      <c r="C66" s="375"/>
      <c r="D66" s="306"/>
      <c r="E66" s="87">
        <v>1.8</v>
      </c>
      <c r="F66" s="120">
        <v>2</v>
      </c>
      <c r="H66" s="358"/>
      <c r="I66" s="121">
        <v>27</v>
      </c>
      <c r="J66" s="124">
        <v>32</v>
      </c>
      <c r="K66" s="125">
        <v>1.9</v>
      </c>
      <c r="L66" s="124">
        <v>2.4</v>
      </c>
      <c r="N66" s="390"/>
      <c r="O66" s="367">
        <v>0</v>
      </c>
      <c r="P66" s="369">
        <v>27</v>
      </c>
      <c r="Q66" s="106" t="s">
        <v>10</v>
      </c>
      <c r="R66" s="178">
        <v>1.3</v>
      </c>
      <c r="S66" s="179">
        <v>1.6</v>
      </c>
    </row>
    <row r="67" spans="1:19" ht="28.5" customHeight="1" thickBot="1" x14ac:dyDescent="0.25">
      <c r="A67" s="375" t="s">
        <v>179</v>
      </c>
      <c r="B67" s="375"/>
      <c r="C67" s="375"/>
      <c r="D67" s="306"/>
      <c r="E67" s="87">
        <v>2.1</v>
      </c>
      <c r="F67" s="87">
        <v>2.2999999999999998</v>
      </c>
      <c r="H67" s="358"/>
      <c r="I67" s="121">
        <v>32</v>
      </c>
      <c r="J67" s="124">
        <v>36</v>
      </c>
      <c r="K67" s="125">
        <v>2.2999999999999998</v>
      </c>
      <c r="L67" s="124">
        <v>2.8</v>
      </c>
      <c r="N67" s="391"/>
      <c r="O67" s="381"/>
      <c r="P67" s="383"/>
      <c r="Q67" s="393" t="s">
        <v>16</v>
      </c>
      <c r="R67" s="180">
        <v>1.6</v>
      </c>
      <c r="S67" s="124">
        <v>2</v>
      </c>
    </row>
    <row r="68" spans="1:19" ht="26.25" customHeight="1" thickBot="1" x14ac:dyDescent="0.25">
      <c r="A68" s="375" t="s">
        <v>218</v>
      </c>
      <c r="B68" s="375"/>
      <c r="C68" s="375"/>
      <c r="D68" s="306"/>
      <c r="E68" s="120">
        <v>1</v>
      </c>
      <c r="F68" s="87">
        <v>1.2</v>
      </c>
      <c r="G68" s="110"/>
      <c r="H68" s="359"/>
      <c r="I68" s="90">
        <v>36</v>
      </c>
      <c r="J68" s="91">
        <v>45</v>
      </c>
      <c r="K68" s="126">
        <v>2.6</v>
      </c>
      <c r="L68" s="91">
        <v>3.1</v>
      </c>
      <c r="M68" s="110"/>
      <c r="N68" s="391"/>
      <c r="O68" s="381">
        <v>27.1</v>
      </c>
      <c r="P68" s="383">
        <v>32</v>
      </c>
      <c r="Q68" s="393" t="s">
        <v>10</v>
      </c>
      <c r="R68" s="180">
        <v>1.5</v>
      </c>
      <c r="S68" s="124">
        <v>1.7</v>
      </c>
    </row>
    <row r="69" spans="1:19" ht="12.75" customHeight="1" thickBot="1" x14ac:dyDescent="0.25">
      <c r="A69" s="92"/>
      <c r="B69" s="92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391"/>
      <c r="O69" s="381"/>
      <c r="P69" s="383"/>
      <c r="Q69" s="394"/>
      <c r="R69" s="396"/>
      <c r="S69" s="385"/>
    </row>
    <row r="70" spans="1:19" ht="25.5" customHeight="1" thickBot="1" x14ac:dyDescent="0.25">
      <c r="A70" s="376" t="s">
        <v>180</v>
      </c>
      <c r="B70" s="377"/>
      <c r="C70" s="323" t="s">
        <v>182</v>
      </c>
      <c r="D70" s="324"/>
      <c r="E70" s="324"/>
      <c r="F70" s="325"/>
      <c r="G70" s="110"/>
      <c r="H70" s="110"/>
      <c r="I70" s="110"/>
      <c r="J70" s="110"/>
      <c r="K70" s="110"/>
      <c r="L70" s="110"/>
      <c r="M70" s="110"/>
      <c r="N70" s="391"/>
      <c r="O70" s="381">
        <v>32.1</v>
      </c>
      <c r="P70" s="383">
        <v>36</v>
      </c>
      <c r="Q70" s="393" t="s">
        <v>10</v>
      </c>
      <c r="R70" s="180">
        <v>1.8</v>
      </c>
      <c r="S70" s="386">
        <v>2</v>
      </c>
    </row>
    <row r="71" spans="1:19" ht="12.75" customHeight="1" thickBot="1" x14ac:dyDescent="0.25">
      <c r="A71" s="378"/>
      <c r="B71" s="379"/>
      <c r="C71" s="320" t="s">
        <v>183</v>
      </c>
      <c r="D71" s="322"/>
      <c r="E71" s="320" t="s">
        <v>184</v>
      </c>
      <c r="F71" s="322"/>
      <c r="G71" s="110"/>
      <c r="H71" s="110"/>
      <c r="I71" s="110"/>
      <c r="J71" s="110"/>
      <c r="K71" s="110"/>
      <c r="L71" s="110"/>
      <c r="M71" s="110"/>
      <c r="N71" s="391"/>
      <c r="O71" s="381"/>
      <c r="P71" s="383"/>
      <c r="Q71" s="394"/>
      <c r="R71" s="396"/>
      <c r="S71" s="385"/>
    </row>
    <row r="72" spans="1:19" x14ac:dyDescent="0.2">
      <c r="A72" s="376" t="s">
        <v>10</v>
      </c>
      <c r="B72" s="377"/>
      <c r="C72" s="112">
        <v>2.8</v>
      </c>
      <c r="D72" s="113">
        <v>3.3</v>
      </c>
      <c r="E72" s="112">
        <v>3</v>
      </c>
      <c r="F72" s="113">
        <v>3.4</v>
      </c>
      <c r="G72" s="110"/>
      <c r="H72" s="110"/>
      <c r="I72" s="110"/>
      <c r="J72" s="110"/>
      <c r="K72" s="110"/>
      <c r="L72" s="110"/>
      <c r="M72" s="110"/>
      <c r="N72" s="391"/>
      <c r="O72" s="381">
        <v>36.1</v>
      </c>
      <c r="P72" s="383">
        <v>45</v>
      </c>
      <c r="Q72" s="393" t="s">
        <v>10</v>
      </c>
      <c r="R72" s="180">
        <v>2.1</v>
      </c>
      <c r="S72" s="124">
        <v>2.2999999999999998</v>
      </c>
    </row>
    <row r="73" spans="1:19" ht="12.75" customHeight="1" thickBot="1" x14ac:dyDescent="0.25">
      <c r="A73" s="378" t="s">
        <v>16</v>
      </c>
      <c r="B73" s="379"/>
      <c r="C73" s="114">
        <v>3.9</v>
      </c>
      <c r="D73" s="115">
        <v>4.5</v>
      </c>
      <c r="E73" s="114">
        <v>4</v>
      </c>
      <c r="F73" s="115">
        <v>4.5</v>
      </c>
      <c r="G73" s="110"/>
      <c r="H73" s="110"/>
      <c r="I73" s="110"/>
      <c r="J73" s="110"/>
      <c r="K73" s="110"/>
      <c r="L73" s="110"/>
      <c r="M73" s="110"/>
      <c r="N73" s="392"/>
      <c r="O73" s="370"/>
      <c r="P73" s="372"/>
      <c r="Q73" s="395"/>
      <c r="R73" s="397"/>
      <c r="S73" s="398"/>
    </row>
    <row r="74" spans="1:19" ht="25.5" customHeight="1" thickBot="1" x14ac:dyDescent="0.25">
      <c r="A74" s="110"/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380" t="s">
        <v>218</v>
      </c>
      <c r="O74" s="399"/>
      <c r="P74" s="399"/>
      <c r="Q74" s="400"/>
      <c r="R74" s="120">
        <v>1</v>
      </c>
      <c r="S74" s="181">
        <v>1.2</v>
      </c>
    </row>
    <row r="75" spans="1:19" ht="13.5" thickBot="1" x14ac:dyDescent="0.25">
      <c r="A75" s="110"/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</row>
    <row r="76" spans="1:19" ht="13.5" thickBot="1" x14ac:dyDescent="0.25">
      <c r="A76" s="320" t="s">
        <v>183</v>
      </c>
      <c r="B76" s="322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</row>
    <row r="77" spans="1:19" ht="13.5" thickBot="1" x14ac:dyDescent="0.25">
      <c r="A77" s="320" t="s">
        <v>184</v>
      </c>
      <c r="B77" s="322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</row>
    <row r="78" spans="1:19" x14ac:dyDescent="0.2">
      <c r="A78" s="110"/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</row>
    <row r="79" spans="1:19" x14ac:dyDescent="0.2">
      <c r="A79" s="110"/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</row>
    <row r="80" spans="1:19" x14ac:dyDescent="0.2">
      <c r="A80" s="110"/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</row>
    <row r="81" spans="1:15" x14ac:dyDescent="0.2">
      <c r="A81" s="110"/>
      <c r="B81" s="110"/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</row>
    <row r="82" spans="1:15" x14ac:dyDescent="0.2">
      <c r="A82" s="110"/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</row>
    <row r="83" spans="1:15" x14ac:dyDescent="0.2">
      <c r="A83" s="110"/>
      <c r="B83" s="110"/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1"/>
      <c r="O83" s="110"/>
    </row>
    <row r="84" spans="1:15" x14ac:dyDescent="0.2">
      <c r="A84" s="110"/>
      <c r="B84" s="110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1"/>
      <c r="O84" s="110"/>
    </row>
    <row r="85" spans="1:15" x14ac:dyDescent="0.2">
      <c r="A85" s="110"/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1"/>
      <c r="O85" s="110"/>
    </row>
    <row r="86" spans="1:15" x14ac:dyDescent="0.2">
      <c r="A86" s="110"/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1"/>
      <c r="N86" s="111"/>
      <c r="O86" s="110"/>
    </row>
    <row r="87" spans="1:15" x14ac:dyDescent="0.2">
      <c r="A87" s="110"/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1"/>
      <c r="N87" s="111"/>
      <c r="O87" s="110"/>
    </row>
    <row r="88" spans="1:15" x14ac:dyDescent="0.2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92"/>
      <c r="N88" s="111"/>
      <c r="O88" s="110"/>
    </row>
    <row r="89" spans="1:15" x14ac:dyDescent="0.2">
      <c r="A89" s="110"/>
      <c r="B89" s="110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92"/>
      <c r="N89" s="111"/>
      <c r="O89" s="110"/>
    </row>
    <row r="90" spans="1:15" x14ac:dyDescent="0.2">
      <c r="A90" s="110"/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92"/>
      <c r="N90" s="111"/>
      <c r="O90" s="110"/>
    </row>
    <row r="91" spans="1:15" x14ac:dyDescent="0.2">
      <c r="A91" s="110"/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92"/>
      <c r="N91" s="111"/>
      <c r="O91" s="110"/>
    </row>
    <row r="92" spans="1:15" x14ac:dyDescent="0.2">
      <c r="A92" s="110"/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92"/>
      <c r="N92" s="111"/>
      <c r="O92" s="110"/>
    </row>
    <row r="93" spans="1:15" x14ac:dyDescent="0.2">
      <c r="A93" s="110"/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92"/>
      <c r="N93" s="111"/>
      <c r="O93" s="110"/>
    </row>
    <row r="94" spans="1:15" x14ac:dyDescent="0.2">
      <c r="A94" s="110"/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92"/>
      <c r="N94" s="111"/>
      <c r="O94" s="110"/>
    </row>
    <row r="95" spans="1:15" x14ac:dyDescent="0.2">
      <c r="A95" s="110"/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92"/>
      <c r="N95" s="111"/>
      <c r="O95" s="110"/>
    </row>
    <row r="96" spans="1:15" x14ac:dyDescent="0.2">
      <c r="A96" s="110"/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92"/>
      <c r="N96" s="111"/>
      <c r="O96" s="110"/>
    </row>
    <row r="97" spans="1:15" x14ac:dyDescent="0.2">
      <c r="A97" s="110"/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92"/>
      <c r="N97" s="110"/>
      <c r="O97" s="110"/>
    </row>
    <row r="98" spans="1:15" x14ac:dyDescent="0.2">
      <c r="A98" s="110"/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92"/>
      <c r="N98" s="110"/>
      <c r="O98" s="110"/>
    </row>
    <row r="99" spans="1:15" x14ac:dyDescent="0.2">
      <c r="A99" s="110"/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92"/>
      <c r="N99" s="110"/>
      <c r="O99" s="110"/>
    </row>
    <row r="100" spans="1:15" x14ac:dyDescent="0.2">
      <c r="A100" s="110"/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</row>
    <row r="101" spans="1:15" x14ac:dyDescent="0.2">
      <c r="A101" s="110"/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</row>
    <row r="102" spans="1:15" x14ac:dyDescent="0.2">
      <c r="A102" s="110"/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</row>
    <row r="103" spans="1:15" x14ac:dyDescent="0.2">
      <c r="A103" s="110"/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</row>
    <row r="104" spans="1:15" x14ac:dyDescent="0.2">
      <c r="A104" s="110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</row>
    <row r="105" spans="1:15" x14ac:dyDescent="0.2">
      <c r="A105" s="110"/>
      <c r="B105" s="110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</row>
    <row r="106" spans="1:15" x14ac:dyDescent="0.2">
      <c r="A106" s="110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</row>
    <row r="107" spans="1:15" x14ac:dyDescent="0.2">
      <c r="A107" s="110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</row>
    <row r="108" spans="1:15" x14ac:dyDescent="0.2">
      <c r="A108" s="110"/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</row>
    <row r="109" spans="1:15" x14ac:dyDescent="0.2">
      <c r="A109" s="110"/>
      <c r="B109" s="110"/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</row>
    <row r="110" spans="1:15" x14ac:dyDescent="0.2">
      <c r="A110" s="110"/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</row>
    <row r="111" spans="1:15" x14ac:dyDescent="0.2">
      <c r="A111" s="110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</row>
    <row r="112" spans="1:15" x14ac:dyDescent="0.2">
      <c r="A112" s="110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</row>
    <row r="113" spans="1:13" x14ac:dyDescent="0.2">
      <c r="A113" s="110"/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</row>
    <row r="114" spans="1:13" x14ac:dyDescent="0.2">
      <c r="A114" s="110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</row>
    <row r="115" spans="1:13" x14ac:dyDescent="0.2">
      <c r="A115" s="110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</row>
  </sheetData>
  <mergeCells count="104">
    <mergeCell ref="N65:S65"/>
    <mergeCell ref="O66:O67"/>
    <mergeCell ref="P66:P67"/>
    <mergeCell ref="O68:O69"/>
    <mergeCell ref="P68:P69"/>
    <mergeCell ref="N66:N73"/>
    <mergeCell ref="O70:O71"/>
    <mergeCell ref="P70:P71"/>
    <mergeCell ref="O72:O73"/>
    <mergeCell ref="P72:P73"/>
    <mergeCell ref="N74:Q74"/>
    <mergeCell ref="N59:S59"/>
    <mergeCell ref="N60:P61"/>
    <mergeCell ref="Q60:Q61"/>
    <mergeCell ref="R60:S61"/>
    <mergeCell ref="N62:P64"/>
    <mergeCell ref="A76:B76"/>
    <mergeCell ref="A60:C61"/>
    <mergeCell ref="D60:D61"/>
    <mergeCell ref="E60:F61"/>
    <mergeCell ref="A77:B77"/>
    <mergeCell ref="A63:C64"/>
    <mergeCell ref="A65:C65"/>
    <mergeCell ref="A66:C66"/>
    <mergeCell ref="A67:C67"/>
    <mergeCell ref="A70:B71"/>
    <mergeCell ref="C70:F70"/>
    <mergeCell ref="C71:D71"/>
    <mergeCell ref="E71:F71"/>
    <mergeCell ref="A72:B72"/>
    <mergeCell ref="A73:B73"/>
    <mergeCell ref="A68:C68"/>
    <mergeCell ref="H59:M59"/>
    <mergeCell ref="K60:L60"/>
    <mergeCell ref="I60:J60"/>
    <mergeCell ref="H61:H64"/>
    <mergeCell ref="A59:F59"/>
    <mergeCell ref="A62:C62"/>
    <mergeCell ref="H65:H68"/>
    <mergeCell ref="A32:B32"/>
    <mergeCell ref="C29:D29"/>
    <mergeCell ref="A29:B29"/>
    <mergeCell ref="A37:E38"/>
    <mergeCell ref="A39:E40"/>
    <mergeCell ref="F39:F40"/>
    <mergeCell ref="A31:B31"/>
    <mergeCell ref="I41:I42"/>
    <mergeCell ref="F47:F48"/>
    <mergeCell ref="A47:E48"/>
    <mergeCell ref="G47:G48"/>
    <mergeCell ref="I47:I48"/>
    <mergeCell ref="H47:H48"/>
    <mergeCell ref="H39:H40"/>
    <mergeCell ref="I39:I40"/>
    <mergeCell ref="C17:F17"/>
    <mergeCell ref="A28:D28"/>
    <mergeCell ref="A25:E25"/>
    <mergeCell ref="A26:E26"/>
    <mergeCell ref="A30:B30"/>
    <mergeCell ref="A23:E23"/>
    <mergeCell ref="A24:E24"/>
    <mergeCell ref="A41:E42"/>
    <mergeCell ref="A43:E44"/>
    <mergeCell ref="A45:E46"/>
    <mergeCell ref="F41:F42"/>
    <mergeCell ref="C6:D6"/>
    <mergeCell ref="F6:H6"/>
    <mergeCell ref="A21:E21"/>
    <mergeCell ref="C7:E7"/>
    <mergeCell ref="F7:I7"/>
    <mergeCell ref="H10:I10"/>
    <mergeCell ref="F10:G10"/>
    <mergeCell ref="A22:E22"/>
    <mergeCell ref="C11:D11"/>
    <mergeCell ref="F11:I11"/>
    <mergeCell ref="C12:E12"/>
    <mergeCell ref="F12:I12"/>
    <mergeCell ref="I45:I46"/>
    <mergeCell ref="G45:G46"/>
    <mergeCell ref="I43:I44"/>
    <mergeCell ref="G41:G42"/>
    <mergeCell ref="H41:H42"/>
    <mergeCell ref="A1:A2"/>
    <mergeCell ref="B1:I1"/>
    <mergeCell ref="B2:I2"/>
    <mergeCell ref="A3:I3"/>
    <mergeCell ref="F5:G5"/>
    <mergeCell ref="F4:G4"/>
    <mergeCell ref="D16:E16"/>
    <mergeCell ref="G16:I16"/>
    <mergeCell ref="D65:D68"/>
    <mergeCell ref="A8:I8"/>
    <mergeCell ref="F9:G9"/>
    <mergeCell ref="H9:I9"/>
    <mergeCell ref="G39:G40"/>
    <mergeCell ref="G17:I17"/>
    <mergeCell ref="A13:I13"/>
    <mergeCell ref="G14:H14"/>
    <mergeCell ref="G15:H15"/>
    <mergeCell ref="F35:F36"/>
    <mergeCell ref="G35:I35"/>
    <mergeCell ref="A35:E36"/>
    <mergeCell ref="A34:I34"/>
    <mergeCell ref="F21:G2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Сергей М. Толстов</cp:lastModifiedBy>
  <cp:lastPrinted>2009-06-12T12:16:24Z</cp:lastPrinted>
  <dcterms:created xsi:type="dcterms:W3CDTF">2009-06-11T09:21:56Z</dcterms:created>
  <dcterms:modified xsi:type="dcterms:W3CDTF">2019-11-15T13:02:11Z</dcterms:modified>
</cp:coreProperties>
</file>